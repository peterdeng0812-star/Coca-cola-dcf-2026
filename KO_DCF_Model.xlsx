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eng\Desktop\学习\DCF\"/>
    </mc:Choice>
  </mc:AlternateContent>
  <xr:revisionPtr revIDLastSave="0" documentId="13_ncr:2001_{DB432FCB-8CAE-4A06-882C-D95420D4C600}" xr6:coauthVersionLast="47" xr6:coauthVersionMax="47" xr10:uidLastSave="{00000000-0000-0000-0000-000000000000}"/>
  <bookViews>
    <workbookView xWindow="-90" yWindow="0" windowWidth="19380" windowHeight="20970" firstSheet="6" activeTab="11" xr2:uid="{00000000-000D-0000-FFFF-FFFF00000000}"/>
  </bookViews>
  <sheets>
    <sheet name="Raw" sheetId="1" r:id="rId1"/>
    <sheet name="IS" sheetId="2" r:id="rId2"/>
    <sheet name="CF" sheetId="3" r:id="rId3"/>
    <sheet name="BS" sheetId="4" r:id="rId4"/>
    <sheet name="NWC" sheetId="5" r:id="rId5"/>
    <sheet name="Adj" sheetId="6" r:id="rId6"/>
    <sheet name="WACC" sheetId="7" r:id="rId7"/>
    <sheet name="CCBA" sheetId="8" r:id="rId8"/>
    <sheet name="EMI" sheetId="9" r:id="rId9"/>
    <sheet name="DCF" sheetId="10" r:id="rId10"/>
    <sheet name="Comp" sheetId="11" r:id="rId11"/>
    <sheet name="Football Field" sheetId="12" r:id="rId12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2" l="1"/>
  <c r="H7" i="12" s="1"/>
  <c r="H6" i="12"/>
  <c r="C9" i="12"/>
  <c r="C8" i="12"/>
  <c r="F7" i="12"/>
  <c r="F8" i="12"/>
  <c r="F9" i="12"/>
  <c r="F6" i="12"/>
  <c r="E11" i="12"/>
  <c r="E10" i="12"/>
  <c r="D11" i="12"/>
  <c r="D10" i="12"/>
  <c r="E9" i="12"/>
  <c r="D9" i="12"/>
  <c r="E8" i="12"/>
  <c r="D8" i="12"/>
  <c r="D6" i="12"/>
  <c r="D82" i="11"/>
  <c r="D81" i="11"/>
  <c r="E80" i="11"/>
  <c r="D80" i="11"/>
  <c r="E78" i="11"/>
  <c r="D78" i="11"/>
  <c r="E74" i="11"/>
  <c r="F74" i="11"/>
  <c r="D74" i="11"/>
  <c r="F73" i="11"/>
  <c r="E73" i="11"/>
  <c r="D73" i="11"/>
  <c r="E68" i="11"/>
  <c r="F68" i="11"/>
  <c r="E69" i="11"/>
  <c r="E70" i="11" s="1"/>
  <c r="E71" i="11" s="1"/>
  <c r="F69" i="11"/>
  <c r="F70" i="11" s="1"/>
  <c r="F71" i="11" s="1"/>
  <c r="F67" i="11"/>
  <c r="E67" i="11"/>
  <c r="D71" i="11"/>
  <c r="D70" i="11"/>
  <c r="D69" i="11"/>
  <c r="D68" i="11"/>
  <c r="D67" i="11"/>
  <c r="D62" i="11"/>
  <c r="D63" i="11"/>
  <c r="D49" i="11"/>
  <c r="D50" i="11" s="1"/>
  <c r="D55" i="11" s="1"/>
  <c r="D57" i="11" s="1"/>
  <c r="D56" i="11"/>
  <c r="D54" i="11"/>
  <c r="D52" i="11"/>
  <c r="D51" i="11"/>
  <c r="D48" i="11"/>
  <c r="D47" i="11"/>
  <c r="D41" i="11"/>
  <c r="E84" i="10"/>
  <c r="D84" i="10"/>
  <c r="E82" i="10"/>
  <c r="D82" i="10"/>
  <c r="E80" i="10"/>
  <c r="D80" i="10"/>
  <c r="E79" i="10"/>
  <c r="D79" i="10"/>
  <c r="E74" i="10"/>
  <c r="D74" i="10"/>
  <c r="H24" i="10"/>
  <c r="H15" i="10" s="1"/>
  <c r="G24" i="10"/>
  <c r="G15" i="10" s="1"/>
  <c r="F24" i="10"/>
  <c r="F15" i="10" s="1"/>
  <c r="H23" i="10"/>
  <c r="H14" i="10" s="1"/>
  <c r="G23" i="10"/>
  <c r="G14" i="10" s="1"/>
  <c r="F23" i="10"/>
  <c r="F14" i="10" s="1"/>
  <c r="H19" i="10"/>
  <c r="I19" i="10" s="1"/>
  <c r="G19" i="10"/>
  <c r="F19" i="10"/>
  <c r="M11" i="10"/>
  <c r="L11" i="10"/>
  <c r="K11" i="10"/>
  <c r="I11" i="10"/>
  <c r="H11" i="10"/>
  <c r="G11" i="10"/>
  <c r="D5" i="10"/>
  <c r="E5" i="10" s="1"/>
  <c r="F5" i="10" s="1"/>
  <c r="G5" i="10" s="1"/>
  <c r="H5" i="10" s="1"/>
  <c r="I5" i="10" s="1"/>
  <c r="G13" i="9"/>
  <c r="F10" i="9"/>
  <c r="F9" i="9"/>
  <c r="F8" i="9"/>
  <c r="F7" i="9"/>
  <c r="F6" i="9"/>
  <c r="F13" i="9" s="1"/>
  <c r="F21" i="9" s="1"/>
  <c r="D58" i="8"/>
  <c r="D59" i="8" s="1"/>
  <c r="D57" i="8"/>
  <c r="D53" i="8"/>
  <c r="D52" i="8"/>
  <c r="D43" i="8"/>
  <c r="D35" i="8"/>
  <c r="D31" i="8"/>
  <c r="D28" i="8"/>
  <c r="D16" i="8"/>
  <c r="D15" i="8"/>
  <c r="D17" i="8" s="1"/>
  <c r="D19" i="8" s="1"/>
  <c r="D12" i="8"/>
  <c r="D10" i="8"/>
  <c r="D8" i="8"/>
  <c r="I40" i="7"/>
  <c r="G40" i="7"/>
  <c r="H40" i="7" s="1"/>
  <c r="F40" i="7"/>
  <c r="E40" i="7"/>
  <c r="J40" i="7" s="1"/>
  <c r="D38" i="7"/>
  <c r="H37" i="7"/>
  <c r="E37" i="7"/>
  <c r="D37" i="7"/>
  <c r="H36" i="7"/>
  <c r="E36" i="7"/>
  <c r="H35" i="7"/>
  <c r="H38" i="7" s="1"/>
  <c r="E35" i="7"/>
  <c r="H34" i="7"/>
  <c r="E34" i="7"/>
  <c r="J34" i="7" s="1"/>
  <c r="H33" i="7"/>
  <c r="E33" i="7"/>
  <c r="D22" i="7"/>
  <c r="D9" i="7"/>
  <c r="D16" i="7" s="1"/>
  <c r="D17" i="7" s="1"/>
  <c r="H10" i="6"/>
  <c r="G10" i="6"/>
  <c r="F10" i="6"/>
  <c r="H7" i="6"/>
  <c r="G7" i="6"/>
  <c r="F7" i="6"/>
  <c r="E5" i="6"/>
  <c r="F5" i="6" s="1"/>
  <c r="G5" i="6" s="1"/>
  <c r="H5" i="6" s="1"/>
  <c r="H19" i="5"/>
  <c r="G19" i="5"/>
  <c r="F19" i="5"/>
  <c r="H18" i="5"/>
  <c r="G18" i="5"/>
  <c r="F18" i="5"/>
  <c r="H17" i="5"/>
  <c r="G17" i="5"/>
  <c r="F17" i="5"/>
  <c r="H16" i="5"/>
  <c r="H20" i="5" s="1"/>
  <c r="G16" i="5"/>
  <c r="G20" i="5" s="1"/>
  <c r="F16" i="5"/>
  <c r="F20" i="5" s="1"/>
  <c r="H9" i="5"/>
  <c r="H11" i="5" s="1"/>
  <c r="G9" i="5"/>
  <c r="G11" i="5" s="1"/>
  <c r="F9" i="5"/>
  <c r="F11" i="5" s="1"/>
  <c r="H8" i="5"/>
  <c r="G8" i="5"/>
  <c r="F8" i="5"/>
  <c r="H7" i="5"/>
  <c r="G7" i="5"/>
  <c r="F7" i="5"/>
  <c r="H6" i="5"/>
  <c r="G6" i="5"/>
  <c r="F6" i="5"/>
  <c r="E5" i="5"/>
  <c r="F5" i="5" s="1"/>
  <c r="G5" i="5" s="1"/>
  <c r="H5" i="5" s="1"/>
  <c r="H42" i="4"/>
  <c r="H59" i="4" s="1"/>
  <c r="H40" i="4"/>
  <c r="H60" i="4" s="1"/>
  <c r="G40" i="4"/>
  <c r="F40" i="4"/>
  <c r="H29" i="4"/>
  <c r="G29" i="4"/>
  <c r="F29" i="4"/>
  <c r="H9" i="4"/>
  <c r="H15" i="4" s="1"/>
  <c r="G9" i="4"/>
  <c r="G15" i="4" s="1"/>
  <c r="F9" i="4"/>
  <c r="F15" i="4" s="1"/>
  <c r="E5" i="4"/>
  <c r="F5" i="4" s="1"/>
  <c r="G5" i="4" s="1"/>
  <c r="H5" i="4" s="1"/>
  <c r="H32" i="3"/>
  <c r="G32" i="3"/>
  <c r="F32" i="3"/>
  <c r="H26" i="3"/>
  <c r="G26" i="3"/>
  <c r="F26" i="3"/>
  <c r="H25" i="3"/>
  <c r="G25" i="3"/>
  <c r="F25" i="3"/>
  <c r="H24" i="3"/>
  <c r="G24" i="3"/>
  <c r="F24" i="3"/>
  <c r="H16" i="3"/>
  <c r="H18" i="3" s="1"/>
  <c r="H21" i="3" s="1"/>
  <c r="H22" i="3" s="1"/>
  <c r="G16" i="3"/>
  <c r="G18" i="3" s="1"/>
  <c r="G21" i="3" s="1"/>
  <c r="G22" i="3" s="1"/>
  <c r="F16" i="3"/>
  <c r="F18" i="3" s="1"/>
  <c r="F21" i="3" s="1"/>
  <c r="F22" i="3" s="1"/>
  <c r="E5" i="3"/>
  <c r="F5" i="3" s="1"/>
  <c r="G5" i="3" s="1"/>
  <c r="H5" i="3" s="1"/>
  <c r="H12" i="2"/>
  <c r="G12" i="2"/>
  <c r="F12" i="2"/>
  <c r="H10" i="2"/>
  <c r="H9" i="2"/>
  <c r="G9" i="2"/>
  <c r="F9" i="2"/>
  <c r="H7" i="2"/>
  <c r="G7" i="2"/>
  <c r="E5" i="2"/>
  <c r="F5" i="2" s="1"/>
  <c r="G5" i="2" s="1"/>
  <c r="H5" i="2" s="1"/>
  <c r="G28" i="11"/>
  <c r="F28" i="11"/>
  <c r="D28" i="11"/>
  <c r="E27" i="11"/>
  <c r="E26" i="11"/>
  <c r="E25" i="11"/>
  <c r="E28" i="11" s="1"/>
  <c r="G24" i="11"/>
  <c r="G30" i="11" s="1"/>
  <c r="G31" i="11" s="1"/>
  <c r="F24" i="11"/>
  <c r="F30" i="11" s="1"/>
  <c r="F31" i="11" s="1"/>
  <c r="E24" i="11"/>
  <c r="D24" i="11"/>
  <c r="D30" i="11" s="1"/>
  <c r="D31" i="11" s="1"/>
  <c r="G17" i="11"/>
  <c r="F17" i="11"/>
  <c r="D17" i="11"/>
  <c r="G14" i="11"/>
  <c r="E14" i="11"/>
  <c r="D14" i="11"/>
  <c r="G13" i="11"/>
  <c r="G18" i="11" s="1"/>
  <c r="G41" i="11" s="1"/>
  <c r="D50" i="10" s="1"/>
  <c r="F13" i="11"/>
  <c r="F18" i="11" s="1"/>
  <c r="F41" i="11" s="1"/>
  <c r="D49" i="10" s="1"/>
  <c r="E13" i="11"/>
  <c r="E18" i="11" s="1"/>
  <c r="D13" i="11"/>
  <c r="D18" i="11" s="1"/>
  <c r="F10" i="12" l="1"/>
  <c r="F11" i="12"/>
  <c r="J36" i="7"/>
  <c r="J33" i="7"/>
  <c r="I20" i="10"/>
  <c r="I23" i="10"/>
  <c r="I24" i="10"/>
  <c r="I28" i="10"/>
  <c r="D45" i="8"/>
  <c r="J5" i="10"/>
  <c r="I56" i="10"/>
  <c r="I57" i="10" s="1"/>
  <c r="F19" i="9"/>
  <c r="F20" i="9" s="1"/>
  <c r="F22" i="9" s="1"/>
  <c r="G15" i="9"/>
  <c r="D78" i="10"/>
  <c r="E78" i="10"/>
  <c r="D36" i="8"/>
  <c r="D32" i="8"/>
  <c r="D20" i="8"/>
  <c r="E38" i="7"/>
  <c r="J35" i="7"/>
  <c r="J38" i="7"/>
  <c r="D7" i="7" s="1"/>
  <c r="D10" i="7" s="1"/>
  <c r="D12" i="7" s="1"/>
  <c r="D27" i="7"/>
  <c r="D8" i="7" s="1"/>
  <c r="D24" i="7"/>
  <c r="H23" i="5"/>
  <c r="H12" i="5"/>
  <c r="H28" i="10"/>
  <c r="G12" i="5"/>
  <c r="H13" i="5"/>
  <c r="H25" i="10" s="1"/>
  <c r="G23" i="5"/>
  <c r="G28" i="10"/>
  <c r="G16" i="10" s="1"/>
  <c r="G13" i="5"/>
  <c r="G25" i="10" s="1"/>
  <c r="F23" i="5"/>
  <c r="F12" i="5"/>
  <c r="F28" i="10"/>
  <c r="F16" i="10" s="1"/>
  <c r="G60" i="4"/>
  <c r="G42" i="4"/>
  <c r="G59" i="4" s="1"/>
  <c r="F60" i="4"/>
  <c r="F42" i="4"/>
  <c r="F59" i="4" s="1"/>
  <c r="H58" i="4"/>
  <c r="H33" i="4"/>
  <c r="H43" i="4" s="1"/>
  <c r="G58" i="4"/>
  <c r="G33" i="4"/>
  <c r="G43" i="4" s="1"/>
  <c r="F58" i="4"/>
  <c r="F33" i="4"/>
  <c r="F43" i="4" s="1"/>
  <c r="H22" i="4"/>
  <c r="H56" i="4"/>
  <c r="G22" i="4"/>
  <c r="G56" i="4"/>
  <c r="F22" i="4"/>
  <c r="F56" i="4"/>
  <c r="H40" i="2"/>
  <c r="H14" i="2"/>
  <c r="G40" i="2"/>
  <c r="G14" i="2"/>
  <c r="G10" i="2"/>
  <c r="F40" i="2"/>
  <c r="F14" i="2"/>
  <c r="F10" i="2"/>
  <c r="E29" i="11"/>
  <c r="E30" i="11" s="1"/>
  <c r="E31" i="11" s="1"/>
  <c r="E41" i="11" s="1"/>
  <c r="D47" i="10"/>
  <c r="J37" i="7" l="1"/>
  <c r="I21" i="10"/>
  <c r="I22" i="10"/>
  <c r="I26" i="10" s="1"/>
  <c r="I58" i="10" s="1"/>
  <c r="I29" i="10"/>
  <c r="K5" i="10"/>
  <c r="J56" i="10"/>
  <c r="J57" i="10" s="1"/>
  <c r="E37" i="11"/>
  <c r="E38" i="11" s="1"/>
  <c r="E42" i="11" s="1"/>
  <c r="G37" i="11"/>
  <c r="G38" i="11" s="1"/>
  <c r="G42" i="11" s="1"/>
  <c r="I59" i="10"/>
  <c r="F37" i="11"/>
  <c r="F38" i="11" s="1"/>
  <c r="F42" i="11" s="1"/>
  <c r="D37" i="11"/>
  <c r="D38" i="11" s="1"/>
  <c r="D42" i="11" s="1"/>
  <c r="D76" i="10"/>
  <c r="E76" i="10"/>
  <c r="D21" i="8"/>
  <c r="D22" i="8"/>
  <c r="E29" i="8" s="1"/>
  <c r="D23" i="8"/>
  <c r="E31" i="8" s="1"/>
  <c r="D24" i="8"/>
  <c r="E35" i="8" s="1"/>
  <c r="D42" i="8"/>
  <c r="D44" i="8" s="1"/>
  <c r="D46" i="8" s="1"/>
  <c r="J10" i="10" s="1"/>
  <c r="J11" i="10" s="1"/>
  <c r="J19" i="10" s="1"/>
  <c r="E28" i="8"/>
  <c r="F28" i="8" s="1"/>
  <c r="D39" i="8" s="1"/>
  <c r="H16" i="10"/>
  <c r="I25" i="10"/>
  <c r="H57" i="4"/>
  <c r="H61" i="4"/>
  <c r="G57" i="4"/>
  <c r="G61" i="4"/>
  <c r="F57" i="4"/>
  <c r="F61" i="4"/>
  <c r="H15" i="2"/>
  <c r="H20" i="2"/>
  <c r="H41" i="2"/>
  <c r="H6" i="6"/>
  <c r="H8" i="6" s="1"/>
  <c r="G15" i="2"/>
  <c r="G20" i="2"/>
  <c r="G41" i="2"/>
  <c r="G6" i="6"/>
  <c r="G8" i="6" s="1"/>
  <c r="F15" i="2"/>
  <c r="F20" i="2"/>
  <c r="F41" i="2"/>
  <c r="F6" i="6"/>
  <c r="F8" i="6" s="1"/>
  <c r="D25" i="7"/>
  <c r="D26" i="7"/>
  <c r="D29" i="7" s="1"/>
  <c r="D35" i="10" s="1"/>
  <c r="J41" i="11"/>
  <c r="L41" i="11"/>
  <c r="I41" i="11"/>
  <c r="M41" i="11"/>
  <c r="K41" i="11"/>
  <c r="D48" i="10"/>
  <c r="D51" i="10" s="1"/>
  <c r="L5" i="10" l="1"/>
  <c r="K56" i="10"/>
  <c r="K57" i="10" s="1"/>
  <c r="I42" i="11"/>
  <c r="J42" i="11"/>
  <c r="K42" i="11"/>
  <c r="L42" i="11"/>
  <c r="M42" i="11"/>
  <c r="E30" i="8"/>
  <c r="E33" i="8"/>
  <c r="E34" i="8" s="1"/>
  <c r="F31" i="8"/>
  <c r="F32" i="8" s="1"/>
  <c r="G32" i="8" s="1"/>
  <c r="E32" i="8"/>
  <c r="F35" i="8"/>
  <c r="F36" i="8" s="1"/>
  <c r="G36" i="8" s="1"/>
  <c r="E36" i="8"/>
  <c r="J28" i="10"/>
  <c r="J24" i="10"/>
  <c r="J23" i="10"/>
  <c r="J20" i="10"/>
  <c r="K19" i="10"/>
  <c r="H22" i="2"/>
  <c r="H13" i="10" s="1"/>
  <c r="H21" i="10" s="1"/>
  <c r="H23" i="2"/>
  <c r="H42" i="2"/>
  <c r="H9" i="6"/>
  <c r="H16" i="6" s="1"/>
  <c r="H11" i="6"/>
  <c r="H12" i="6" s="1"/>
  <c r="D29" i="8"/>
  <c r="H20" i="10"/>
  <c r="G22" i="2"/>
  <c r="G13" i="10" s="1"/>
  <c r="G23" i="2"/>
  <c r="G42" i="2"/>
  <c r="G9" i="6"/>
  <c r="G16" i="6" s="1"/>
  <c r="G11" i="6"/>
  <c r="G12" i="6" s="1"/>
  <c r="G20" i="10"/>
  <c r="F22" i="2"/>
  <c r="F13" i="10" s="1"/>
  <c r="F23" i="2"/>
  <c r="F42" i="2"/>
  <c r="F9" i="6"/>
  <c r="F16" i="6" s="1"/>
  <c r="F11" i="6"/>
  <c r="F12" i="6" s="1"/>
  <c r="F20" i="10"/>
  <c r="I60" i="10"/>
  <c r="I61" i="10" s="1"/>
  <c r="J59" i="10"/>
  <c r="J60" i="10" s="1"/>
  <c r="M5" i="10" l="1"/>
  <c r="M56" i="10" s="1"/>
  <c r="M57" i="10" s="1"/>
  <c r="L56" i="10"/>
  <c r="L57" i="10" s="1"/>
  <c r="J25" i="10"/>
  <c r="J21" i="10"/>
  <c r="J22" i="10"/>
  <c r="J26" i="10" s="1"/>
  <c r="J58" i="10" s="1"/>
  <c r="J61" i="10" s="1"/>
  <c r="J29" i="10"/>
  <c r="L19" i="10"/>
  <c r="K20" i="10"/>
  <c r="K23" i="10"/>
  <c r="K24" i="10"/>
  <c r="K28" i="10"/>
  <c r="K25" i="10" s="1"/>
  <c r="H25" i="2"/>
  <c r="H43" i="2"/>
  <c r="F29" i="8"/>
  <c r="D30" i="8"/>
  <c r="D33" i="8"/>
  <c r="H22" i="10"/>
  <c r="H26" i="10" s="1"/>
  <c r="H29" i="10"/>
  <c r="H12" i="10"/>
  <c r="G25" i="2"/>
  <c r="G43" i="2"/>
  <c r="G22" i="10"/>
  <c r="G26" i="10" s="1"/>
  <c r="G29" i="10"/>
  <c r="G12" i="10"/>
  <c r="F25" i="2"/>
  <c r="F43" i="2"/>
  <c r="F29" i="10"/>
  <c r="F12" i="10"/>
  <c r="G21" i="10"/>
  <c r="F21" i="10"/>
  <c r="F22" i="10" s="1"/>
  <c r="K59" i="10"/>
  <c r="M19" i="10" l="1"/>
  <c r="L20" i="10"/>
  <c r="L23" i="10"/>
  <c r="L24" i="10"/>
  <c r="L28" i="10"/>
  <c r="K21" i="10"/>
  <c r="K22" i="10"/>
  <c r="K26" i="10" s="1"/>
  <c r="K58" i="10" s="1"/>
  <c r="K29" i="10"/>
  <c r="H26" i="2"/>
  <c r="H28" i="2"/>
  <c r="H45" i="2" s="1"/>
  <c r="H44" i="2"/>
  <c r="F30" i="8"/>
  <c r="G30" i="8" s="1"/>
  <c r="F33" i="8"/>
  <c r="F34" i="8" s="1"/>
  <c r="D34" i="8"/>
  <c r="D38" i="8"/>
  <c r="G26" i="2"/>
  <c r="G28" i="2"/>
  <c r="G45" i="2" s="1"/>
  <c r="G44" i="2"/>
  <c r="F26" i="2"/>
  <c r="F28" i="2"/>
  <c r="F45" i="2" s="1"/>
  <c r="F44" i="2"/>
  <c r="K60" i="10"/>
  <c r="L59" i="10"/>
  <c r="K61" i="10" l="1"/>
  <c r="M20" i="10"/>
  <c r="M23" i="10"/>
  <c r="M24" i="10"/>
  <c r="M28" i="10"/>
  <c r="L21" i="10"/>
  <c r="L22" i="10"/>
  <c r="L29" i="10"/>
  <c r="L25" i="10"/>
  <c r="M25" i="10"/>
  <c r="L60" i="10"/>
  <c r="M59" i="10"/>
  <c r="G34" i="8"/>
  <c r="M21" i="10" l="1"/>
  <c r="M22" i="10"/>
  <c r="M26" i="10" s="1"/>
  <c r="M29" i="10"/>
  <c r="D41" i="10" s="1"/>
  <c r="D43" i="10" s="1"/>
  <c r="E66" i="10"/>
  <c r="E67" i="10" s="1"/>
  <c r="D66" i="10"/>
  <c r="D67" i="10" s="1"/>
  <c r="M60" i="10"/>
  <c r="L26" i="10"/>
  <c r="L58" i="10" s="1"/>
  <c r="L61" i="10" s="1"/>
  <c r="D33" i="10" l="1"/>
  <c r="M58" i="10"/>
  <c r="M61" i="10" s="1"/>
  <c r="E65" i="10"/>
  <c r="E68" i="10" s="1"/>
  <c r="E64" i="10" l="1"/>
  <c r="E69" i="10" s="1"/>
  <c r="D64" i="10"/>
  <c r="D36" i="10"/>
  <c r="D44" i="10"/>
  <c r="E73" i="10" l="1"/>
  <c r="E81" i="10" s="1"/>
  <c r="E83" i="10" s="1"/>
  <c r="E70" i="10"/>
  <c r="D65" i="10"/>
  <c r="D68" i="10" s="1"/>
  <c r="D38" i="10"/>
  <c r="D37" i="10"/>
  <c r="D113" i="10" l="1"/>
  <c r="E85" i="10"/>
  <c r="D69" i="10"/>
  <c r="D73" i="10" l="1"/>
  <c r="D81" i="10" s="1"/>
  <c r="D83" i="10" s="1"/>
  <c r="D70" i="10"/>
  <c r="D102" i="10" l="1"/>
  <c r="D85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D23" authorId="0" shapeId="0" xr:uid="{00000000-0006-0000-0600-000001000000}">
      <text>
        <r>
          <rPr>
            <sz val="12"/>
            <color theme="1"/>
            <rFont val="Aptos Narrow"/>
            <family val="2"/>
            <scheme val="minor"/>
          </rPr>
          <t>Q2'26 10-Q balance sheet (7/3/2026): Loans and notes payable 48 + Current maturities of LTD 6,494 + Long-term debt 37,001 = 43,543</t>
        </r>
      </text>
    </comment>
    <comment ref="F33" authorId="0" shapeId="0" xr:uid="{00000000-0006-0000-0600-000002000000}">
      <text>
        <r>
          <rPr>
            <sz val="12"/>
            <color theme="1"/>
            <rFont val="Aptos Narrow"/>
            <family val="2"/>
            <scheme val="minor"/>
          </rPr>
          <t>9/30/2026 close $126.72 x 1,364.9mm shares outstanding = $172,961mm (Stock Analysis)</t>
        </r>
      </text>
    </comment>
    <comment ref="F34" authorId="0" shapeId="0" xr:uid="{00000000-0006-0000-0600-000003000000}">
      <text>
        <r>
          <rPr>
            <sz val="12"/>
            <color theme="1"/>
            <rFont val="Aptos Narrow"/>
            <family val="2"/>
            <scheme val="minor"/>
          </rPr>
          <t>9/30/2026 close $30.34 x 1,360.9mm shares outstanding = $41,290mm (Stock Analysis)</t>
        </r>
      </text>
    </comment>
    <comment ref="F35" authorId="0" shapeId="0" xr:uid="{00000000-0006-0000-0600-000004000000}">
      <text>
        <r>
          <rPr>
            <sz val="12"/>
            <color theme="1"/>
            <rFont val="Aptos Narrow"/>
            <family val="2"/>
            <scheme val="minor"/>
          </rPr>
          <t>9/30/2026 close $41.62 x 1,959.1mm shares outstanding = $81,537mm (Stock Analysis)</t>
        </r>
      </text>
    </comment>
    <comment ref="F36" authorId="0" shapeId="0" xr:uid="{00000000-0006-0000-0600-000005000000}">
      <text>
        <r>
          <rPr>
            <sz val="12"/>
            <color theme="1"/>
            <rFont val="Aptos Narrow"/>
            <family val="2"/>
            <scheme val="minor"/>
          </rPr>
          <t>9/30/2026 close $101.71 x 443.2mm shares outstanding = $45,076mm (Stock Analysis)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  <author>Deng Peter</author>
  </authors>
  <commentList>
    <comment ref="G9" authorId="0" shapeId="0" xr:uid="{00000000-0006-0000-0A00-000001000000}">
      <text>
        <r>
          <rPr>
            <sz val="12"/>
            <color theme="1"/>
            <rFont val="Aptos Narrow"/>
            <family val="2"/>
            <scheme val="minor"/>
          </rPr>
          <t>ECB euro reference rate, 30 Sep 2026: 1 EUR = 1.1355 USD
https://www.ecb.europa.eu/stats/exchange/eurofxref/shared/pdf/2026/09/20260930.pdf
All CCEP EUR figures translated at this spot rate (same date as market cap).</t>
        </r>
      </text>
    </comment>
    <comment ref="D12" authorId="0" shapeId="0" xr:uid="{00000000-0006-0000-0A00-000002000000}">
      <text>
        <r>
          <rPr>
            <sz val="12"/>
            <color theme="1"/>
            <rFont val="Aptos Narrow"/>
            <family val="2"/>
            <scheme val="minor"/>
          </rPr>
          <t>Stock Analysis historical prices, close 9/30/2026 (same as WACC tab equity value comment)</t>
        </r>
      </text>
    </comment>
    <comment ref="E12" authorId="0" shapeId="0" xr:uid="{00000000-0006-0000-0A00-000003000000}">
      <text>
        <r>
          <rPr>
            <sz val="12"/>
            <color theme="1"/>
            <rFont val="Aptos Narrow"/>
            <family val="2"/>
            <scheme val="minor"/>
          </rPr>
          <t>Stock Analysis historical prices, close 9/30/2026 (same as WACC tab equity value comment)</t>
        </r>
      </text>
    </comment>
    <comment ref="F12" authorId="0" shapeId="0" xr:uid="{00000000-0006-0000-0A00-000004000000}">
      <text>
        <r>
          <rPr>
            <sz val="12"/>
            <color theme="1"/>
            <rFont val="Aptos Narrow"/>
            <family val="2"/>
            <scheme val="minor"/>
          </rPr>
          <t>Stock Analysis historical prices, close 9/30/2026 (same as WACC tab equity value comment)
MNST: post 2-for-1 split (Aug 2026)</t>
        </r>
      </text>
    </comment>
    <comment ref="G12" authorId="0" shapeId="0" xr:uid="{00000000-0006-0000-0A00-000005000000}">
      <text>
        <r>
          <rPr>
            <sz val="12"/>
            <color theme="1"/>
            <rFont val="Aptos Narrow"/>
            <family val="2"/>
            <scheme val="minor"/>
          </rPr>
          <t>Stock Analysis historical prices, close 9/30/2026 (same as WACC tab equity value comment)
CCEP: Nasdaq listing, USD</t>
        </r>
      </text>
    </comment>
    <comment ref="D14" authorId="0" shapeId="0" xr:uid="{00000000-0006-0000-0A00-000006000000}">
      <text>
        <r>
          <rPr>
            <sz val="12"/>
            <color theme="1"/>
            <rFont val="Aptos Narrow"/>
            <family val="2"/>
            <scheme val="minor"/>
          </rPr>
          <t>PEP Q2'26 10-Q (6/13/26): https://www.sec.gov/Archives/edgar/data/0000077476/000007747626000035/pep-20260613.htm
Short-term debt obligations 10,602 + Long-term debt obligations 42,612</t>
        </r>
      </text>
    </comment>
    <comment ref="E14" authorId="0" shapeId="0" xr:uid="{00000000-0006-0000-0A00-000007000000}">
      <text>
        <r>
          <rPr>
            <sz val="12"/>
            <color theme="1"/>
            <rFont val="Aptos Narrow"/>
            <family val="2"/>
            <scheme val="minor"/>
          </rPr>
          <t>KDP Q2'26 10-Q (6/30/26): https://www.sec.gov/Archives/edgar/data/0001418135/000141813526000051/kdp-20260630.htm
Short-term borrowings and current portion of LT obligations 8,394 (CP 1,978 + delayed draw term loan 3,185 + current notes 3,231) + Long-term obligations 21,586. Includes $4,971mm assumed JDE Peet's debt.</t>
        </r>
      </text>
    </comment>
    <comment ref="F14" authorId="0" shapeId="0" xr:uid="{00000000-0006-0000-0A00-000008000000}">
      <text>
        <r>
          <rPr>
            <sz val="12"/>
            <color theme="1"/>
            <rFont val="Aptos Narrow"/>
            <family val="2"/>
            <scheme val="minor"/>
          </rPr>
          <t>MNST Q2'26 10-Q (6/30/26): https://www.sec.gov/Archives/edgar/data/0000865752/000110465926092193/mnst-20260630x10q.htm
Note "Debt": no borrowings outstanding under the Credit Facilities.</t>
        </r>
      </text>
    </comment>
    <comment ref="G14" authorId="0" shapeId="0" xr:uid="{00000000-0006-0000-0A00-000009000000}">
      <text>
        <r>
          <rPr>
            <sz val="12"/>
            <color theme="1"/>
            <rFont val="Aptos Narrow"/>
            <family val="2"/>
            <scheme val="minor"/>
          </rPr>
          <t>CCEP H1 2026 half-year report (6-K, 3 Jul 2026), EUR m: https://www.sec.gov/Archives/edgar/data/0001650107/000165010726000094/ccep2026half-yearreportxfu.htm
Current portion of borrowings 1,663 + Borrowings, less current portion 10,526 (IFRS 16 lease obligations are included in borrowings).</t>
        </r>
      </text>
    </comment>
    <comment ref="E15" authorId="0" shapeId="0" xr:uid="{00000000-0006-0000-0A00-00000A000000}">
      <text>
        <r>
          <rPr>
            <sz val="12"/>
            <color theme="1"/>
            <rFont val="Aptos Narrow"/>
            <family val="2"/>
            <scheme val="minor"/>
          </rPr>
          <t>KDP Q2'26 10-Q (6/30/26): https://www.sec.gov/Archives/edgar/data/0001418135/000141813526000051/kdp-20260630.htm
Series A Convertible Preferred Stock (temporary equity), liquidation preference $4,500mm (carrying value 4,418). Issued to fund JDE Peet's; treated as debt-like claim.</t>
        </r>
      </text>
    </comment>
    <comment ref="D16" authorId="0" shapeId="0" xr:uid="{00000000-0006-0000-0A00-00000B000000}">
      <text>
        <r>
          <rPr>
            <sz val="12"/>
            <color theme="1"/>
            <rFont val="Aptos Narrow"/>
            <family val="2"/>
            <scheme val="minor"/>
          </rPr>
          <t>PEP Q2'26 10-Q (6/13/26): https://www.sec.gov/Archives/edgar/data/0000077476/000007747626000035/pep-20260613.htm
Noncontrolling interests 172</t>
        </r>
      </text>
    </comment>
    <comment ref="E16" authorId="0" shapeId="0" xr:uid="{00000000-0006-0000-0A00-00000C000000}">
      <text>
        <r>
          <rPr>
            <sz val="12"/>
            <color theme="1"/>
            <rFont val="Aptos Narrow"/>
            <family val="2"/>
            <scheme val="minor"/>
          </rPr>
          <t>KDP Q2'26 10-Q (6/30/26): https://www.sec.gov/Archives/edgar/data/0001418135/000141813526000051/kdp-20260630.htm
Non-controlling interests 4,196 — mainly 49% of Keurig pod manufacturing JV sold to Apollo/KKR/Goldman funds (3/30/26) 3,921, plus JDE Peet's minorities 210.</t>
        </r>
      </text>
    </comment>
    <comment ref="F16" authorId="0" shapeId="0" xr:uid="{00000000-0006-0000-0A00-00000D000000}">
      <text>
        <r>
          <rPr>
            <sz val="12"/>
            <color theme="1"/>
            <rFont val="Aptos Narrow"/>
            <family val="2"/>
            <scheme val="minor"/>
          </rPr>
          <t>MNST Q2'26 10-Q (6/30/26): https://www.sec.gov/Archives/edgar/data/0000865752/000110465926092193/mnst-20260630x10q.htm
No noncontrolling interest.</t>
        </r>
      </text>
    </comment>
    <comment ref="G16" authorId="0" shapeId="0" xr:uid="{00000000-0006-0000-0A00-00000E000000}">
      <text>
        <r>
          <rPr>
            <sz val="12"/>
            <color theme="1"/>
            <rFont val="Aptos Narrow"/>
            <family val="2"/>
            <scheme val="minor"/>
          </rPr>
          <t>CCEP H1 2026 half-year report (6-K, 3 Jul 2026), EUR m: https://www.sec.gov/Archives/edgar/data/0001650107/000165010726000094/ccep2026half-yearreportxfu.htm
Non-controlling interests 487</t>
        </r>
      </text>
    </comment>
    <comment ref="D17" authorId="0" shapeId="0" xr:uid="{00000000-0006-0000-0A00-00000F000000}">
      <text>
        <r>
          <rPr>
            <sz val="12"/>
            <color theme="1"/>
            <rFont val="Aptos Narrow"/>
            <family val="2"/>
            <scheme val="minor"/>
          </rPr>
          <t>PEP Q2'26 10-Q (6/13/26): https://www.sec.gov/Archives/edgar/data/0000077476/000007747626000035/pep-20260613.htm
Cash and cash equivalents 10,251 + Short-term investments 465</t>
        </r>
      </text>
    </comment>
    <comment ref="E17" authorId="0" shapeId="0" xr:uid="{00000000-0006-0000-0A00-000010000000}">
      <text>
        <r>
          <rPr>
            <sz val="12"/>
            <color theme="1"/>
            <rFont val="Aptos Narrow"/>
            <family val="2"/>
            <scheme val="minor"/>
          </rPr>
          <t>KDP Q2'26 10-Q (6/30/26): https://www.sec.gov/Archives/edgar/data/0001418135/000141813526000051/kdp-20260630.htm
Cash and cash equivalents 1,517 (no short-term investments)</t>
        </r>
      </text>
    </comment>
    <comment ref="F17" authorId="0" shapeId="0" xr:uid="{00000000-0006-0000-0A00-000011000000}">
      <text>
        <r>
          <rPr>
            <sz val="12"/>
            <color theme="1"/>
            <rFont val="Aptos Narrow"/>
            <family val="2"/>
            <scheme val="minor"/>
          </rPr>
          <t>MNST Q2'26 10-Q (6/30/26): https://www.sec.gov/Archives/edgar/data/0000865752/000110465926092193/mnst-20260630x10q.htm
Cash and cash equivalents 2,192.4 + Short-term investments 1,226.8 (LT investments 781.3 excluded)</t>
        </r>
      </text>
    </comment>
    <comment ref="G17" authorId="0" shapeId="0" xr:uid="{00000000-0006-0000-0A00-000012000000}">
      <text>
        <r>
          <rPr>
            <sz val="12"/>
            <color theme="1"/>
            <rFont val="Aptos Narrow"/>
            <family val="2"/>
            <scheme val="minor"/>
          </rPr>
          <t>CCEP H1 2026 half-year report (6-K, 3 Jul 2026), EUR m: https://www.sec.gov/Archives/edgar/data/0001650107/000165010726000094/ccep2026half-yearreportxfu.htm
Cash and cash equivalents 1,753 + Short term investments 241. Cross-check: CCEP reported net debt 10,284.</t>
        </r>
      </text>
    </comment>
    <comment ref="D21" authorId="0" shapeId="0" xr:uid="{00000000-0006-0000-0A00-000013000000}">
      <text>
        <r>
          <rPr>
            <sz val="12"/>
            <color theme="1"/>
            <rFont val="Aptos Narrow"/>
            <family val="2"/>
            <scheme val="minor"/>
          </rPr>
          <t>PEP Q4/FY25 earnings release, p. A-11 "Core Operating Profit, non-GAAP measure": https://investors.pepsico.com/docs/pepsico-5v9wci20/media/Files/investors/q4-2025-earnings-release.pdf
Core operating profit FY2025 (GAAP 11,498; excludes impairment of Rockstar etc., restructuring, M&amp;A charges, MTM)</t>
        </r>
      </text>
    </comment>
    <comment ref="E21" authorId="0" shapeId="0" xr:uid="{00000000-0006-0000-0A00-000014000000}">
      <text>
        <r>
          <rPr>
            <sz val="12"/>
            <color theme="1"/>
            <rFont val="Aptos Narrow"/>
            <family val="2"/>
            <scheme val="minor"/>
          </rPr>
          <t>KDP Q4/FY25 earnings release (8-K Ex. 99.1, 2/24/26): https://www.sec.gov/Archives/edgar/data/1418135/000141813526000011/ex991-keurigdrpepperreport.htm
Adjusted income from operations FY2025 (GAAP 3,575)</t>
        </r>
      </text>
    </comment>
    <comment ref="F21" authorId="0" shapeId="0" xr:uid="{00000000-0006-0000-0A00-000015000000}">
      <text>
        <r>
          <rPr>
            <sz val="12"/>
            <color theme="1"/>
            <rFont val="Aptos Narrow"/>
            <family val="2"/>
            <scheme val="minor"/>
          </rPr>
          <t>MNST Q4/FY25 earnings release (2/26/26) and FY25 10-K: https://investors.monsterbevcorp.com/node/17871 ; https://www.sec.gov/Archives/edgar/data/865752/000110465926020831/
Adjusted operating income FY2025 (GAAP 2,419.4; adds back Alcohol Brands impairment 53.7 &amp; operating losses 73.3, litigation 19.5, retirement-clause SBC 16.8)</t>
        </r>
      </text>
    </comment>
    <comment ref="G21" authorId="0" shapeId="0" xr:uid="{00000000-0006-0000-0A00-000016000000}">
      <text>
        <r>
          <rPr>
            <sz val="12"/>
            <color theme="1"/>
            <rFont val="Aptos Narrow"/>
            <family val="2"/>
            <scheme val="minor"/>
          </rPr>
          <t>CCEP FY2025 results release: https://ir.cocacolaep.com/news-releases/news-release-details/coca-cola-ep-plc-preliminary-unaudited-results-q4-fy-2025
Comparable operating profit FY2025 (reported 2,793)</t>
        </r>
      </text>
    </comment>
    <comment ref="D22" authorId="0" shapeId="0" xr:uid="{00000000-0006-0000-0A00-000017000000}">
      <text>
        <r>
          <rPr>
            <sz val="12"/>
            <color theme="1"/>
            <rFont val="Aptos Narrow"/>
            <family val="2"/>
            <scheme val="minor"/>
          </rPr>
          <t>PEP Q2'26 earnings release (24-week reconciliation, "Core Operating Profit, non-GAAP"): https://www.sec.gov/Archives/edgar/data/0000077476/000007747626000037/q220268-kxexhibit991.htm
Core operating profit, 24 weeks ended 6/13/26 (GAAP 7,236)</t>
        </r>
      </text>
    </comment>
    <comment ref="E22" authorId="0" shapeId="0" xr:uid="{00000000-0006-0000-0A00-000018000000}">
      <text>
        <r>
          <rPr>
            <sz val="12"/>
            <color theme="1"/>
            <rFont val="Aptos Narrow"/>
            <family val="2"/>
            <scheme val="minor"/>
          </rPr>
          <t>KDP Q2'26 earnings release (8-K Ex. 99.1, 8/6/26): https://www.sec.gov/Archives/edgar/data/0001418135/000141813526000048/ex991-keurigdrpepperreport.htm
Adjusted income from operations, six months ended 6/30/26 (GAAP 1,384). Includes JDE Peet's from 4/1/26.</t>
        </r>
      </text>
    </comment>
    <comment ref="F22" authorId="0" shapeId="0" xr:uid="{00000000-0006-0000-0A00-000019000000}">
      <text>
        <r>
          <rPr>
            <sz val="12"/>
            <color theme="1"/>
            <rFont val="Aptos Narrow"/>
            <family val="2"/>
            <scheme val="minor"/>
          </rPr>
          <t>MNST Q2'26 earnings release (8-K Ex. 99.1, 8/6/26), six-month non-GAAP reconciliation: https://www.sec.gov/Archives/edgar/data/0000865752/000110465926092046/tm2622396d1_ex99-1.htm
Adjusted operating income H1 2026 (GAAP 1,470.4)</t>
        </r>
      </text>
    </comment>
    <comment ref="G22" authorId="0" shapeId="0" xr:uid="{00000000-0006-0000-0A00-00001A000000}">
      <text>
        <r>
          <rPr>
            <sz val="12"/>
            <color theme="1"/>
            <rFont val="Aptos Narrow"/>
            <family val="2"/>
            <scheme val="minor"/>
          </rPr>
          <t>CCEP H1 2026 half-year report (6-K, 3 Jul 2026), EUR m: https://www.sec.gov/Archives/edgar/data/0001650107/000165010726000094/ccep2026half-yearreportxfu.htm
Comparable operating profit H1 2026 (reported 1,458)</t>
        </r>
      </text>
    </comment>
    <comment ref="D23" authorId="0" shapeId="0" xr:uid="{00000000-0006-0000-0A00-00001B000000}">
      <text>
        <r>
          <rPr>
            <sz val="12"/>
            <color theme="1"/>
            <rFont val="Aptos Narrow"/>
            <family val="2"/>
            <scheme val="minor"/>
          </rPr>
          <t>PEP Q2'26 earnings release (24-week reconciliation, "Core Operating Profit, non-GAAP"): https://www.sec.gov/Archives/edgar/data/0000077476/000007747626000037/q220268-kxexhibit991.htm
Core operating profit, 24 weeks ended 6/14/25 (GAAP 4,372; incl. 1,860 Rockstar/Be &amp; Cheery impairment)</t>
        </r>
      </text>
    </comment>
    <comment ref="E23" authorId="0" shapeId="0" xr:uid="{00000000-0006-0000-0A00-00001C000000}">
      <text>
        <r>
          <rPr>
            <sz val="12"/>
            <color theme="1"/>
            <rFont val="Aptos Narrow"/>
            <family val="2"/>
            <scheme val="minor"/>
          </rPr>
          <t>KDP Q2'26 earnings release (8-K Ex. 99.1, 8/6/26): https://www.sec.gov/Archives/edgar/data/0001418135/000141813526000048/ex991-keurigdrpepperreport.htm
Adjusted income from operations, six months ended 6/30/25 (GAAP 1,699)</t>
        </r>
      </text>
    </comment>
    <comment ref="F23" authorId="0" shapeId="0" xr:uid="{00000000-0006-0000-0A00-00001D000000}">
      <text>
        <r>
          <rPr>
            <sz val="12"/>
            <color theme="1"/>
            <rFont val="Aptos Narrow"/>
            <family val="2"/>
            <scheme val="minor"/>
          </rPr>
          <t>MNST Q2'26 earnings release (8-K Ex. 99.1, 8/6/26), six-month non-GAAP reconciliation: https://www.sec.gov/Archives/edgar/data/0000865752/000110465926092046/tm2622396d1_ex99-1.htm
Adjusted operating income H1 2025 (GAAP 1,201.4)</t>
        </r>
      </text>
    </comment>
    <comment ref="G23" authorId="0" shapeId="0" xr:uid="{00000000-0006-0000-0A00-00001E000000}">
      <text>
        <r>
          <rPr>
            <sz val="12"/>
            <color theme="1"/>
            <rFont val="Aptos Narrow"/>
            <family val="2"/>
            <scheme val="minor"/>
          </rPr>
          <t>CCEP H1 2026 half-year report (6-K, 3 Jul 2026), EUR m: https://www.sec.gov/Archives/edgar/data/0001650107/000165010726000094/ccep2026half-yearreportxfu.htm
Comparable operating profit H1 2025 (reported 1,364)</t>
        </r>
      </text>
    </comment>
    <comment ref="D25" authorId="0" shapeId="0" xr:uid="{00000000-0006-0000-0A00-00001F000000}">
      <text>
        <r>
          <rPr>
            <sz val="12"/>
            <color theme="1"/>
            <rFont val="Aptos Narrow"/>
            <family val="2"/>
            <scheme val="minor"/>
          </rPr>
          <t>PEP Q4/FY25 earnings release, p. A-11 "Core Operating Profit, non-GAAP measure": https://investors.pepsico.com/docs/pepsico-5v9wci20/media/Files/investors/q4-2025-earnings-release.pdf
Cash flow statement: Depreciation and amortization FY2025</t>
        </r>
      </text>
    </comment>
    <comment ref="E25" authorId="0" shapeId="0" xr:uid="{00000000-0006-0000-0A00-000020000000}">
      <text>
        <r>
          <rPr>
            <sz val="12"/>
            <color theme="1"/>
            <rFont val="Aptos Narrow"/>
            <family val="2"/>
            <scheme val="minor"/>
          </rPr>
          <t>KDP Q4/FY25 earnings release (8-K Ex. 99.1, 2/24/26): https://www.sec.gov/Archives/edgar/data/1418135/000141813526000011/ex991-keurigdrpepperreport.htm
Cash flow: Depreciation expense 455 + Other amortization 160. Excludes amortization of intangibles (138) — already added back in adjusted EBIT.</t>
        </r>
      </text>
    </comment>
    <comment ref="F25" authorId="0" shapeId="0" xr:uid="{00000000-0006-0000-0A00-000021000000}">
      <text>
        <r>
          <rPr>
            <sz val="12"/>
            <color theme="1"/>
            <rFont val="Aptos Narrow"/>
            <family val="2"/>
            <scheme val="minor"/>
          </rPr>
          <t>MNST Q4/FY25 earnings release (2/26/26) and FY25 10-K: https://investors.monsterbevcorp.com/node/17871 ; https://www.sec.gov/Archives/edgar/data/865752/000110465926020831/
FY25 10-K cash flow: Depreciation and amortization</t>
        </r>
      </text>
    </comment>
    <comment ref="G25" authorId="0" shapeId="0" xr:uid="{00000000-0006-0000-0A00-000022000000}">
      <text>
        <r>
          <rPr>
            <sz val="12"/>
            <color theme="1"/>
            <rFont val="Aptos Narrow"/>
            <family val="2"/>
            <scheme val="minor"/>
          </rPr>
          <t>CCEP FY2025 results release: https://ir.cocacolaep.com/news-releases/news-release-details/coca-cola-ep-plc-preliminary-unaudited-results-q4-fy-2025
EBITDA reconciliation: Depreciation and amortisation (771 + 152)</t>
        </r>
      </text>
    </comment>
    <comment ref="D26" authorId="0" shapeId="0" xr:uid="{00000000-0006-0000-0A00-000023000000}">
      <text>
        <r>
          <rPr>
            <sz val="12"/>
            <color theme="1"/>
            <rFont val="Aptos Narrow"/>
            <family val="2"/>
            <scheme val="minor"/>
          </rPr>
          <t>PEP Q2'26 10-Q (6/13/26): https://www.sec.gov/Archives/edgar/data/0000077476/000007747626000035/pep-20260613.htm
Cash flow: Depreciation and amortization, 24 weeks 2026</t>
        </r>
      </text>
    </comment>
    <comment ref="E26" authorId="0" shapeId="0" xr:uid="{00000000-0006-0000-0A00-000024000000}">
      <text>
        <r>
          <rPr>
            <sz val="12"/>
            <color theme="1"/>
            <rFont val="Aptos Narrow"/>
            <family val="2"/>
            <scheme val="minor"/>
          </rPr>
          <t>KDP Q2'26 10-Q (6/30/26): https://www.sec.gov/Archives/edgar/data/0001418135/000141813526000051/kdp-20260630.htm
Cash flow: Depreciation 322 + Other amortization 82. Excludes amortization of intangibles (161) and inventory step-up (314) — already added back in adjusted EBIT.</t>
        </r>
      </text>
    </comment>
    <comment ref="F26" authorId="0" shapeId="0" xr:uid="{00000000-0006-0000-0A00-000025000000}">
      <text>
        <r>
          <rPr>
            <sz val="12"/>
            <color theme="1"/>
            <rFont val="Aptos Narrow"/>
            <family val="2"/>
            <scheme val="minor"/>
          </rPr>
          <t>MNST Q2'26 10-Q (6/30/26): https://www.sec.gov/Archives/edgar/data/0000865752/000110465926092193/mnst-20260630x10q.htm
Cash flow: Depreciation and amortization, H1 2026</t>
        </r>
      </text>
    </comment>
    <comment ref="G26" authorId="0" shapeId="0" xr:uid="{00000000-0006-0000-0A00-000026000000}">
      <text>
        <r>
          <rPr>
            <sz val="12"/>
            <color theme="1"/>
            <rFont val="Aptos Narrow"/>
            <family val="2"/>
            <scheme val="minor"/>
          </rPr>
          <t>CCEP H1 2026 half-year report (6-K, 3 Jul 2026), EUR m: https://www.sec.gov/Archives/edgar/data/0001650107/000165010726000094/ccep2026half-yearreportxfu.htm
Depreciation 374 + Amortisation of intangibles 65</t>
        </r>
      </text>
    </comment>
    <comment ref="D27" authorId="0" shapeId="0" xr:uid="{00000000-0006-0000-0A00-000027000000}">
      <text>
        <r>
          <rPr>
            <sz val="12"/>
            <color theme="1"/>
            <rFont val="Aptos Narrow"/>
            <family val="2"/>
            <scheme val="minor"/>
          </rPr>
          <t>PEP Q2'26 10-Q (6/13/26): https://www.sec.gov/Archives/edgar/data/0000077476/000007747626000035/pep-20260613.htm
Cash flow: Depreciation and amortization, 24 weeks 2025</t>
        </r>
      </text>
    </comment>
    <comment ref="E27" authorId="0" shapeId="0" xr:uid="{00000000-0006-0000-0A00-000028000000}">
      <text>
        <r>
          <rPr>
            <sz val="12"/>
            <color theme="1"/>
            <rFont val="Aptos Narrow"/>
            <family val="2"/>
            <scheme val="minor"/>
          </rPr>
          <t>KDP Q2'26 10-Q (6/30/26): https://www.sec.gov/Archives/edgar/data/0001418135/000141813526000051/kdp-20260630.htm
Cash flow: Depreciation 217 + Other amortization 63. Excludes intangibles amortization (68) and inventory step-up (15).</t>
        </r>
      </text>
    </comment>
    <comment ref="F27" authorId="0" shapeId="0" xr:uid="{00000000-0006-0000-0A00-000029000000}">
      <text>
        <r>
          <rPr>
            <sz val="12"/>
            <color theme="1"/>
            <rFont val="Aptos Narrow"/>
            <family val="2"/>
            <scheme val="minor"/>
          </rPr>
          <t>MNST Q2'26 10-Q (6/30/26): https://www.sec.gov/Archives/edgar/data/0000865752/000110465926092193/mnst-20260630x10q.htm
Cash flow: Depreciation and amortization, H1 2025</t>
        </r>
      </text>
    </comment>
    <comment ref="G27" authorId="0" shapeId="0" xr:uid="{00000000-0006-0000-0A00-00002A000000}">
      <text>
        <r>
          <rPr>
            <sz val="12"/>
            <color theme="1"/>
            <rFont val="Aptos Narrow"/>
            <family val="2"/>
            <scheme val="minor"/>
          </rPr>
          <t>CCEP H1 2026 half-year report (6-K, 3 Jul 2026), EUR m: https://www.sec.gov/Archives/edgar/data/0001650107/000165010726000094/ccep2026half-yearreportxfu.htm
Depreciation 380 + Amortisation of intangibles 89</t>
        </r>
      </text>
    </comment>
    <comment ref="E32" authorId="0" shapeId="0" xr:uid="{00000000-0006-0000-0A00-00002B000000}">
      <text>
        <r>
          <rPr>
            <sz val="12"/>
            <color theme="1"/>
            <rFont val="Aptos Narrow"/>
            <family val="2"/>
            <scheme val="minor"/>
          </rPr>
          <t>KDP Q2'26 earnings release (8-K Ex. 99.1, 8/6/26): https://www.sec.gov/Archives/edgar/data/0001418135/000141813526000048/ex991-keurigdrpepperreport.htm
"Pro forma Adjusted EBITDA" (incl. JDE Peet's for full period; deal closed 4/1/26): Q3'25 1,703 + Q4'25 1,778 + Q1'26 1,356 + Q2'26 1,774 = 6,611</t>
        </r>
      </text>
    </comment>
    <comment ref="D35" authorId="0" shapeId="0" xr:uid="{00000000-0006-0000-0A00-00002C000000}">
      <text>
        <r>
          <rPr>
            <sz val="12"/>
            <color theme="1"/>
            <rFont val="Aptos Narrow"/>
            <family val="2"/>
            <scheme val="minor"/>
          </rPr>
          <t>stockanalysis.com/stocks/pep/forecast/ (updated 10/10/26): FY26 avg 8.39 (16 analysts); FY27 "EPS Next Year" 8.69. Yahoo: 8.41 / 8.72.
Consensus as of early Oct 2026 (post-valuation date; minor timing mismatch).</t>
        </r>
      </text>
    </comment>
    <comment ref="E35" authorId="0" shapeId="0" xr:uid="{00000000-0006-0000-0A00-00002D000000}">
      <text>
        <r>
          <rPr>
            <sz val="12"/>
            <color theme="1"/>
            <rFont val="Aptos Narrow"/>
            <family val="2"/>
            <scheme val="minor"/>
          </rPr>
          <t>MarketBeat (marketbeat.com/stocks/NASDAQ/KDP/earnings/): Current Year 2.30, Next Year 2.52. (Stock Analysis FY26 2.29; FY27 paywalled.)
Consensus as of early Oct 2026 (post-valuation date; minor timing mismatch).</t>
        </r>
      </text>
    </comment>
    <comment ref="F35" authorId="0" shapeId="0" xr:uid="{00000000-0006-0000-0A00-00002E000000}">
      <text>
        <r>
          <rPr>
            <sz val="12"/>
            <color theme="1"/>
            <rFont val="Aptos Narrow"/>
            <family val="2"/>
            <scheme val="minor"/>
          </rPr>
          <t>stockanalysis.com/stocks/mnst/forecast/ (updated 10/5/26), split-adjusted: FY26 1.15 (24 analysts), FY27 1.31. Yahoo matches.
Consensus as of early Oct 2026 (post-valuation date; minor timing mismatch).</t>
        </r>
      </text>
    </comment>
    <comment ref="G35" authorId="0" shapeId="0" xr:uid="{00000000-0006-0000-0A00-00002F000000}">
      <text>
        <r>
          <rPr>
            <sz val="12"/>
            <color theme="1"/>
            <rFont val="Aptos Narrow"/>
            <family val="2"/>
            <scheme val="minor"/>
          </rPr>
          <t>stockanalysis.com/stocks/ccep/forecast/ (updated 10/5/26), EUR: FY26 4.49, FY27 "EPS Next Year" 4.89. Yahoo FY27 4.89.
Consensus as of early Oct 2026 (post-valuation date; minor timing mismatch).</t>
        </r>
      </text>
    </comment>
    <comment ref="D36" authorId="0" shapeId="0" xr:uid="{00000000-0006-0000-0A00-000030000000}">
      <text>
        <r>
          <rPr>
            <sz val="12"/>
            <color theme="1"/>
            <rFont val="Aptos Narrow"/>
            <family val="2"/>
            <scheme val="minor"/>
          </rPr>
          <t>stockanalysis.com/stocks/pep/forecast/ (updated 10/10/26): FY26 avg 8.39 (16 analysts); FY27 "EPS Next Year" 8.69. Yahoo: 8.41 / 8.72.
Consensus as of early Oct 2026 (post-valuation date; minor timing mismatch).</t>
        </r>
      </text>
    </comment>
    <comment ref="E36" authorId="0" shapeId="0" xr:uid="{00000000-0006-0000-0A00-000031000000}">
      <text>
        <r>
          <rPr>
            <sz val="12"/>
            <color theme="1"/>
            <rFont val="Aptos Narrow"/>
            <family val="2"/>
            <scheme val="minor"/>
          </rPr>
          <t>MarketBeat (marketbeat.com/stocks/NASDAQ/KDP/earnings/): Current Year 2.30, Next Year 2.52. (Stock Analysis FY26 2.29; FY27 paywalled.)
Consensus as of early Oct 2026 (post-valuation date; minor timing mismatch).</t>
        </r>
      </text>
    </comment>
    <comment ref="F36" authorId="0" shapeId="0" xr:uid="{00000000-0006-0000-0A00-000032000000}">
      <text>
        <r>
          <rPr>
            <sz val="12"/>
            <color theme="1"/>
            <rFont val="Aptos Narrow"/>
            <family val="2"/>
            <scheme val="minor"/>
          </rPr>
          <t>stockanalysis.com/stocks/mnst/forecast/ (updated 10/5/26), split-adjusted: FY26 1.15 (24 analysts), FY27 1.31. Yahoo matches.
Consensus as of early Oct 2026 (post-valuation date; minor timing mismatch).</t>
        </r>
      </text>
    </comment>
    <comment ref="G36" authorId="0" shapeId="0" xr:uid="{00000000-0006-0000-0A00-000033000000}">
      <text>
        <r>
          <rPr>
            <sz val="12"/>
            <color theme="1"/>
            <rFont val="Aptos Narrow"/>
            <family val="2"/>
            <scheme val="minor"/>
          </rPr>
          <t>stockanalysis.com/stocks/ccep/forecast/ (updated 10/5/26), EUR: FY26 4.49, FY27 "EPS Next Year" 4.89. Yahoo FY27 4.89.
Consensus as of early Oct 2026 (post-valuation date; minor timing mismatch).</t>
        </r>
      </text>
    </comment>
    <comment ref="C48" authorId="1" shapeId="0" xr:uid="{023AAF2F-7AF6-4663-9605-E3DA0B6F7602}">
      <text>
        <r>
          <rPr>
            <b/>
            <sz val="9"/>
            <color indexed="81"/>
            <rFont val="Tahoma"/>
            <family val="2"/>
          </rPr>
          <t>Deng Peter:</t>
        </r>
        <r>
          <rPr>
            <sz val="9"/>
            <color indexed="81"/>
            <rFont val="Tahoma"/>
            <family val="2"/>
          </rPr>
          <t xml:space="preserve">
KO Q2'26 10-Q</t>
        </r>
      </text>
    </comment>
    <comment ref="C49" authorId="1" shapeId="0" xr:uid="{41AD4890-8296-4571-A47F-DD29CD403F17}">
      <text>
        <r>
          <rPr>
            <b/>
            <sz val="9"/>
            <color indexed="81"/>
            <rFont val="Tahoma"/>
            <family val="2"/>
          </rPr>
          <t>Deng Peter:</t>
        </r>
        <r>
          <rPr>
            <sz val="9"/>
            <color indexed="81"/>
            <rFont val="Tahoma"/>
            <family val="2"/>
          </rPr>
          <t xml:space="preserve">
KO Q2'26 10-Q (six months ended 7/3/26 vs 6/27/25): Operating income 9,031 / 7,939; Other operating charges 44 / 144; D&amp;A (cash flow) 530 / 546.
https://www.sec.gov/Archives/edgar/data/0000021344/000162828026050503/ko-20260703.htm</t>
        </r>
      </text>
    </comment>
    <comment ref="C52" authorId="1" shapeId="0" xr:uid="{39E23A42-887F-41DA-9022-BB4F1284EACE}">
      <text>
        <r>
          <rPr>
            <b/>
            <sz val="9"/>
            <color indexed="81"/>
            <rFont val="Tahoma"/>
            <family val="2"/>
          </rPr>
          <t>Deng Peter:</t>
        </r>
        <r>
          <rPr>
            <sz val="9"/>
            <color indexed="81"/>
            <rFont val="Tahoma"/>
            <family val="2"/>
          </rPr>
          <t xml:space="preserve">
KO Q2'26 10-Q (six months ended 7/3/26 vs 6/27/25): Operating income 9,031 / 7,939; Other operating charges 44 / 144; D&amp;A (cash flow) 530 / 546.
https://www.sec.gov/Archives/edgar/data/0000021344/000162828026050503/ko-20260703.htm</t>
        </r>
      </text>
    </comment>
    <comment ref="C53" authorId="1" shapeId="0" xr:uid="{0891C508-49F4-4F72-9131-876DD162A054}">
      <text>
        <r>
          <rPr>
            <b/>
            <sz val="9"/>
            <color indexed="81"/>
            <rFont val="Tahoma"/>
            <family val="2"/>
          </rPr>
          <t>Deng Peter:</t>
        </r>
        <r>
          <rPr>
            <sz val="9"/>
            <color indexed="81"/>
            <rFont val="Tahoma"/>
            <family val="2"/>
          </rPr>
          <t xml:space="preserve">
KO Q2'26 10-Q (six months ended 7/3/26 vs 6/27/25): Operating income 9,031 / 7,939; Other operating charges 44 / 144; D&amp;A (cash flow) 530 / 546.
https://www.sec.gov/Archives/edgar/data/0000021344/000162828026050503/ko-20260703.htm</t>
        </r>
      </text>
    </comment>
    <comment ref="C60" authorId="1" shapeId="0" xr:uid="{40D18E1A-D2BF-4107-B430-B6BD117789E8}">
      <text>
        <r>
          <rPr>
            <b/>
            <sz val="9"/>
            <color indexed="81"/>
            <rFont val="Tahoma"/>
            <family val="2"/>
          </rPr>
          <t>Deng Peter:</t>
        </r>
        <r>
          <rPr>
            <sz val="9"/>
            <color indexed="81"/>
            <rFont val="Tahoma"/>
            <family val="2"/>
          </rPr>
          <t xml:space="preserve">
Consensus comparable EPS: stockanalysis.com/stocks/ko/forecast/ (updated 10/9/26, S&amp;P Global) FY26E avg 3.30 (18 analysts; range 3.25–3.34); FY27E "EPS Next Year" 3.52. Cross-check MarketBeat: 3.29 / 3.53.</t>
        </r>
      </text>
    </comment>
    <comment ref="C61" authorId="1" shapeId="0" xr:uid="{DE474033-63DA-4B37-BF2F-4B36A832367D}">
      <text>
        <r>
          <rPr>
            <b/>
            <sz val="9"/>
            <color indexed="81"/>
            <rFont val="Tahoma"/>
            <family val="2"/>
          </rPr>
          <t>Deng Peter:</t>
        </r>
        <r>
          <rPr>
            <sz val="9"/>
            <color indexed="81"/>
            <rFont val="Tahoma"/>
            <family val="2"/>
          </rPr>
          <t xml:space="preserve">
Consensus comparable EPS: stockanalysis.com/stocks/ko/forecast/ (updated 10/9/26, S&amp;P Global) FY26E avg 3.30 (18 analysts; range 3.25–3.34); FY27E "EPS Next Year" 3.52. Cross-check MarketBeat: 3.29 / 3.53.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Deng Peter</author>
  </authors>
  <commentList>
    <comment ref="D6" authorId="0" shapeId="0" xr:uid="{CC4D33D6-D731-4FF0-94DC-760F1AE2F937}">
      <text>
        <r>
          <rPr>
            <b/>
            <sz val="9"/>
            <color indexed="81"/>
            <rFont val="Tahoma"/>
            <family val="2"/>
          </rPr>
          <t>Deng Peter:</t>
        </r>
        <r>
          <rPr>
            <sz val="9"/>
            <color indexed="81"/>
            <rFont val="Tahoma"/>
            <family val="2"/>
          </rPr>
          <t xml:space="preserve">
stockanalysis.com/stocks/ko/history/: intraday high $92.49 (8/24/26); intraday low $65.84 (Oct 2025, per stockscan.io/digrin). 9/30/26 close $86.08.</t>
        </r>
      </text>
    </comment>
    <comment ref="E6" authorId="0" shapeId="0" xr:uid="{E23A40B1-1548-44CA-884C-6395B1EF43B5}">
      <text>
        <r>
          <rPr>
            <b/>
            <sz val="9"/>
            <color indexed="81"/>
            <rFont val="Tahoma"/>
            <family val="2"/>
          </rPr>
          <t>Deng Peter:</t>
        </r>
        <r>
          <rPr>
            <sz val="9"/>
            <color indexed="81"/>
            <rFont val="Tahoma"/>
            <family val="2"/>
          </rPr>
          <t xml:space="preserve">
stockanalysis.com/stocks/ko/history/: intraday high $92.49 (8/24/26); intraday low $65.84 (Oct 2025, per stockscan.io/digrin). 9/30/26 close $86.08.</t>
        </r>
      </text>
    </comment>
    <comment ref="F6" authorId="0" shapeId="0" xr:uid="{81E11BA8-CBA7-444C-A3C4-386948D2C8AE}">
      <text>
        <r>
          <rPr>
            <b/>
            <sz val="9"/>
            <color indexed="81"/>
            <rFont val="Tahoma"/>
            <family val="2"/>
          </rPr>
          <t>Deng Peter:</t>
        </r>
        <r>
          <rPr>
            <sz val="9"/>
            <color indexed="81"/>
            <rFont val="Tahoma"/>
            <family val="2"/>
          </rPr>
          <t xml:space="preserve">
stockanalysis.com/stocks/ko/history/: intraday high $92.49 (8/24/26); intraday low $65.84 (Oct 2025, per stockscan.io/digrin). 9/30/26 close $86.08.</t>
        </r>
      </text>
    </comment>
    <comment ref="D7" authorId="0" shapeId="0" xr:uid="{23E7437D-834C-4EF0-AD81-4FD22EB85C55}">
      <text>
        <r>
          <rPr>
            <b/>
            <sz val="9"/>
            <color indexed="81"/>
            <rFont val="Tahoma"/>
            <family val="2"/>
          </rPr>
          <t>Deng Peter:</t>
        </r>
        <r>
          <rPr>
            <sz val="9"/>
            <color indexed="81"/>
            <rFont val="Tahoma"/>
            <family val="2"/>
          </rPr>
          <t xml:space="preserve">
stockanalysis.com/stocks/ko/forecast/ (S&amp;P Global, updated 10/9/26): 24 analysts, low $75, avg $94.43, median $95, high $104. MarketBeat (10/10/26): $82 / $95.95 / $104.</t>
        </r>
      </text>
    </comment>
    <comment ref="E7" authorId="0" shapeId="0" xr:uid="{3E9700F9-D515-4E3A-BE88-1AC19E93C30B}">
      <text>
        <r>
          <rPr>
            <b/>
            <sz val="9"/>
            <color indexed="81"/>
            <rFont val="Tahoma"/>
            <family val="2"/>
          </rPr>
          <t>Deng Peter:</t>
        </r>
        <r>
          <rPr>
            <sz val="9"/>
            <color indexed="81"/>
            <rFont val="Tahoma"/>
            <family val="2"/>
          </rPr>
          <t xml:space="preserve">
stockanalysis.com/stocks/ko/forecast/ (S&amp;P Global, updated 10/9/26): 24 analysts, low $75, avg $94.43, median $95, high $104. MarketBeat (10/10/26): $82 / $95.95 / $104.</t>
        </r>
      </text>
    </comment>
    <comment ref="F7" authorId="0" shapeId="0" xr:uid="{6C406E6F-7CD2-440E-AE26-BCC62214AA1D}">
      <text>
        <r>
          <rPr>
            <b/>
            <sz val="9"/>
            <color indexed="81"/>
            <rFont val="Tahoma"/>
            <family val="2"/>
          </rPr>
          <t>Deng Peter:</t>
        </r>
        <r>
          <rPr>
            <sz val="9"/>
            <color indexed="81"/>
            <rFont val="Tahoma"/>
            <family val="2"/>
          </rPr>
          <t xml:space="preserve">
stockanalysis.com/stocks/ko/forecast/ (S&amp;P Global, updated 10/9/26): 24 analysts, low $75, avg $94.43, median $95, high $104. MarketBeat (10/10/26): $82 / $95.95 / $104.</t>
        </r>
      </text>
    </comment>
  </commentList>
</comments>
</file>

<file path=xl/sharedStrings.xml><?xml version="1.0" encoding="utf-8"?>
<sst xmlns="http://schemas.openxmlformats.org/spreadsheetml/2006/main" count="708" uniqueCount="511">
  <si>
    <t>The Coca-Cola Company (NYSE: KO)</t>
  </si>
  <si>
    <t>Trading Comparables</t>
  </si>
  <si>
    <t>($ in millions, except per share data; market data as of September 30, 2026)</t>
  </si>
  <si>
    <t>Company</t>
  </si>
  <si>
    <t>PepsiCo</t>
  </si>
  <si>
    <t>Keurig Dr Pepper</t>
  </si>
  <si>
    <t>Monster Beverage</t>
  </si>
  <si>
    <t>CCEP</t>
  </si>
  <si>
    <t>Ticker</t>
  </si>
  <si>
    <t>PEP</t>
  </si>
  <si>
    <t>KDP</t>
  </si>
  <si>
    <t>MNST</t>
  </si>
  <si>
    <t>Reporting currency</t>
  </si>
  <si>
    <t>USD</t>
  </si>
  <si>
    <t>EUR</t>
  </si>
  <si>
    <t>Latest balance sheet date</t>
  </si>
  <si>
    <t>FX rate (USD per local currency, 9/30/26)</t>
  </si>
  <si>
    <t>Enterprise Value</t>
  </si>
  <si>
    <t>Share price (9/30/26)</t>
  </si>
  <si>
    <t>Equity value ($)</t>
  </si>
  <si>
    <t>Plus: Total debt (local)</t>
  </si>
  <si>
    <t>Plus: Preferred stock (local)</t>
  </si>
  <si>
    <t>Plus: Noncontrolling interest (local)</t>
  </si>
  <si>
    <t>Less: Cash &amp; short-term investments (local)</t>
  </si>
  <si>
    <t>Enterprise value ($)</t>
  </si>
  <si>
    <t>LTM Adjusted EBITDA (local currency)</t>
  </si>
  <si>
    <t>Adj. EBIT – FY2025</t>
  </si>
  <si>
    <t>Plus: Adj. EBIT – H1 2026</t>
  </si>
  <si>
    <t>Less: Adj. EBIT – H1 2025</t>
  </si>
  <si>
    <t>LTM Adj. EBIT</t>
  </si>
  <si>
    <t>D&amp;A – FY2025</t>
  </si>
  <si>
    <t>Plus: D&amp;A – H1 2026</t>
  </si>
  <si>
    <t>Less: D&amp;A – H1 2025</t>
  </si>
  <si>
    <t>LTM D&amp;A</t>
  </si>
  <si>
    <t>Plus: Pro forma acquisition adjustment</t>
  </si>
  <si>
    <t>LTM Adj. EBITDA (local)</t>
  </si>
  <si>
    <t>LTM Adj. EBITDA ($)</t>
  </si>
  <si>
    <t>Memo: KDP-reported pro forma LTM Adj. EBITDA</t>
  </si>
  <si>
    <t>NTM EPS (consensus, adjusted)</t>
  </si>
  <si>
    <t>FY2026E EPS (local)</t>
  </si>
  <si>
    <t>FY2027E EPS (local)</t>
  </si>
  <si>
    <t>Weight on FY2026E (remaining fraction of FY26)</t>
  </si>
  <si>
    <t>NTM EPS ($)</t>
  </si>
  <si>
    <t>Trading Multiples</t>
  </si>
  <si>
    <t>Max</t>
  </si>
  <si>
    <t>75th pct</t>
  </si>
  <si>
    <t>Median</t>
  </si>
  <si>
    <t>25th pct</t>
  </si>
  <si>
    <t>Min</t>
  </si>
  <si>
    <t>EV / LTM Adj. EBITDA</t>
  </si>
  <si>
    <t>NTM P/E</t>
  </si>
  <si>
    <t>Notes</t>
  </si>
  <si>
    <t>(1) Share prices: 9/30/26 close (Stock Analysis); equity value linked to WACC tab. MNST reflects 2-for-1 split (Aug 2026); price and EPS split-adjusted.</t>
  </si>
  <si>
    <t>(2) Balance sheet items per latest filing before 9/30/26 (dates in row 8). Cash includes short-term investments. CCEP borrowings include IFRS 16 leases (EBITDA is correspondingly pre-lease cost).</t>
  </si>
  <si>
    <t>(3) KDP: Series A convertible preferred ($4.5bn liquidation preference) and NCI (49% Keurig pod JV) added to EV, consistent with 100% consolidated EBITDA.</t>
  </si>
  <si>
    <t>(4) Adj. EBIT = company-defined non-GAAP: PEP core operating profit; KDP adjusted income from operations; MNST adjusted operating income; CCEP comparable operating profit. KDP D&amp;A excludes intangible amortization and inventory step-up (already added back in adjusted EBIT).</t>
  </si>
  <si>
    <t>(5) KDP closed the JDE Peet's acquisition on 4/1/26; LTM EBITDA uses KDP's reported pro forma LTM Adj. EBITDA ($6,611mm, Q2'26 release). Separation into two companies targeted for early 2027.</t>
  </si>
  <si>
    <t>(6) CCEP EUR figures translated at the 9/30/26 ECB reference rate (1.1355). NTM EPS = FY26E x remaining FY26 fraction (DCF!I57) + FY27E x (1 – fraction).</t>
  </si>
  <si>
    <t>XML 24 R3.htm IDEA: XBRL DOCUMENT</t>
  </si>
  <si>
    <t>CONSOLIDATED STATEMENTS OF INCOME - USD ()</t>
  </si>
  <si>
    <t>shares in Millions,  in Millions</t>
  </si>
  <si>
    <t>12 Months Ended</t>
  </si>
  <si>
    <t>Dec. 31, 2025</t>
  </si>
  <si>
    <t>Dec. 31, 2024</t>
  </si>
  <si>
    <t>Dec. 31, 2023</t>
  </si>
  <si>
    <t>Net Operating Revenues</t>
  </si>
  <si>
    <t>Cost of goods sold</t>
  </si>
  <si>
    <t>Gross Profit</t>
  </si>
  <si>
    <t>Selling, general and administrative expenses</t>
  </si>
  <si>
    <t>Other operating charges</t>
  </si>
  <si>
    <t>Operating Income</t>
  </si>
  <si>
    <t>Interest income</t>
  </si>
  <si>
    <t>Interest expense</t>
  </si>
  <si>
    <t>Equity income (loss) — net</t>
  </si>
  <si>
    <t>Other income (loss) — net</t>
  </si>
  <si>
    <t>Income Before Income Taxes</t>
  </si>
  <si>
    <t>Income taxes</t>
  </si>
  <si>
    <t>Consolidated Net Income</t>
  </si>
  <si>
    <t>Net Income (Loss) Attributable to Noncontrolling Interest</t>
  </si>
  <si>
    <t>Net Income Attributable to Shareowners of The Coca-Cola Company</t>
  </si>
  <si>
    <t>Basic Net Income Per Share1</t>
  </si>
  <si>
    <t>Diluted Net Income Per Share1</t>
  </si>
  <si>
    <t>Average Shares Outstanding — Basic</t>
  </si>
  <si>
    <t>Effect of dilutive securities</t>
  </si>
  <si>
    <t>Average Shares Outstanding — Diluted</t>
  </si>
  <si>
    <t>XML 28 R7.htm IDEA: XBRL DOCUMENT</t>
  </si>
  <si>
    <t>CONSOLIDATED STATEMENTS OF CASH FLOWS - USD ($)</t>
  </si>
  <si>
    <t>$ in Millions</t>
  </si>
  <si>
    <t>OPERATING ACTIVITIES</t>
  </si>
  <si>
    <t>Depreciation and amortization</t>
  </si>
  <si>
    <t>Stock-based compensation expense</t>
  </si>
  <si>
    <t>Deferred income taxes</t>
  </si>
  <si>
    <t>Equity (income) loss — net of dividends</t>
  </si>
  <si>
    <t>Foreign currency adjustments</t>
  </si>
  <si>
    <t>Significant (gains) losses — net</t>
  </si>
  <si>
    <t>Other items</t>
  </si>
  <si>
    <t>Net change in operating assets and liabilities</t>
  </si>
  <si>
    <t>Net Cash Provided by Operating Activities</t>
  </si>
  <si>
    <t>INVESTING ACTIVITIES</t>
  </si>
  <si>
    <t>Purchases of investments</t>
  </si>
  <si>
    <t>Proceeds from disposals of investments</t>
  </si>
  <si>
    <t>Acquisitions of businesses, equity method investments and nonmarketable securities</t>
  </si>
  <si>
    <t>Proceeds from disposals of businesses, equity method investments and nonmarketable securities</t>
  </si>
  <si>
    <t>Purchases of property, plant and equipment</t>
  </si>
  <si>
    <t>Proceeds from disposals of property, plant and equipment</t>
  </si>
  <si>
    <t>Collateral (paid) received associated with hedging activities — net</t>
  </si>
  <si>
    <t>Other investing activities</t>
  </si>
  <si>
    <t>Net Cash Provided by (Used in) Investing Activities</t>
  </si>
  <si>
    <t>FINANCING ACTIVITIES</t>
  </si>
  <si>
    <t>Issuances of loans, notes payable and long-term debt</t>
  </si>
  <si>
    <t>Payments of loans, notes payable and long-term debt</t>
  </si>
  <si>
    <t>Issuances of stock</t>
  </si>
  <si>
    <t>Purchases of stock for treasury</t>
  </si>
  <si>
    <t>Dividends</t>
  </si>
  <si>
    <t>Proceeds from Noncontrolling Interests</t>
  </si>
  <si>
    <t>Other financing activities</t>
  </si>
  <si>
    <t>Net Cash Provided by (Used in) Financing Activities</t>
  </si>
  <si>
    <t>CASH AND CASH EQUIVALENTS</t>
  </si>
  <si>
    <t>Effect of Exchange Rate Changes on Cash, Cash Equivalents, Restricted Cash, and Restricted Cash Equivalents</t>
  </si>
  <si>
    <t>Net increase (decrease) in cash, cash equivalents, restricted cash and restricted cash equivalents during the year</t>
  </si>
  <si>
    <t>Cash, cash equivalents, restricted cash and restricted cash equivalents at beginning of year</t>
  </si>
  <si>
    <t>Cash, Cash Equivalents, Restricted Cash and Restricted Cash Equivalents at End of Year</t>
  </si>
  <si>
    <t>Restricted Cash and Restricted Cash Equivalents</t>
  </si>
  <si>
    <t>Cash and cash equivalents</t>
  </si>
  <si>
    <t>XML 26 R5.htm IDEA: XBRL DOCUMENT</t>
  </si>
  <si>
    <t>CONSOLIDATED BALANCE SHEETS - USD ($)</t>
  </si>
  <si>
    <t>$ in Millions  (2023 from FY2024 10-K; 2024–2025 from FY2025 10-K)</t>
  </si>
  <si>
    <t>CURRENT ASSETS</t>
  </si>
  <si>
    <t>Short-term investments</t>
  </si>
  <si>
    <t>Total Cash, Cash Equivalents and Short-Term Investments</t>
  </si>
  <si>
    <t>Marketable securities</t>
  </si>
  <si>
    <t>Trade accounts receivable, less allowances of $495 and $506, respectively</t>
  </si>
  <si>
    <t>Inventories</t>
  </si>
  <si>
    <t>Prepaid expenses and other current assets</t>
  </si>
  <si>
    <t>Assets held for sale</t>
  </si>
  <si>
    <t>Total Current Assets</t>
  </si>
  <si>
    <t>Equity method investments</t>
  </si>
  <si>
    <t>Deferred income tax assets</t>
  </si>
  <si>
    <t>Property, plant and equipment — net</t>
  </si>
  <si>
    <t>Trademarks with indefinite lives</t>
  </si>
  <si>
    <t>Goodwill</t>
  </si>
  <si>
    <t>Other noncurrent assets</t>
  </si>
  <si>
    <t>Total Assets</t>
  </si>
  <si>
    <t>CURRENT LIABILITIES</t>
  </si>
  <si>
    <t>Accounts payable and accrued expenses</t>
  </si>
  <si>
    <t>Loans and notes payable</t>
  </si>
  <si>
    <t>Current maturities of long-term debt</t>
  </si>
  <si>
    <t>Accrued income taxes</t>
  </si>
  <si>
    <t>Liabilities held for sale</t>
  </si>
  <si>
    <t>Total Current Liabilities</t>
  </si>
  <si>
    <t>Long-term debt</t>
  </si>
  <si>
    <t>Other noncurrent liabilities</t>
  </si>
  <si>
    <t>Deferred income tax liabilities</t>
  </si>
  <si>
    <t>THE COCA-COLA COMPANY SHAREOWNERS' EQUITY</t>
  </si>
  <si>
    <t>Common stock, $0.25 par value; authorized — 11,200 shares; issued — 7,040 shares</t>
  </si>
  <si>
    <t>Capital surplus</t>
  </si>
  <si>
    <t>Reinvested earnings</t>
  </si>
  <si>
    <t>Accumulated other comprehensive income (loss)</t>
  </si>
  <si>
    <t>Treasury stock, at cost — 2,738 and 2,738 shares, respectively</t>
  </si>
  <si>
    <t>Equity Attributable to Shareowners of The Coca-Cola Company</t>
  </si>
  <si>
    <t>Equity Attributable to Noncontrolling Interests</t>
  </si>
  <si>
    <t>Total Equity</t>
  </si>
  <si>
    <t>Total Liabilities and Equity</t>
  </si>
  <si>
    <t>Income Statement</t>
  </si>
  <si>
    <t>($ in millions, except per share data)</t>
  </si>
  <si>
    <t>Fiscal Year Ending December 31,</t>
  </si>
  <si>
    <t>Net operating revenues</t>
  </si>
  <si>
    <t>% growth</t>
  </si>
  <si>
    <t>Gross profit</t>
  </si>
  <si>
    <t>% margin</t>
  </si>
  <si>
    <t>Selling, general &amp; administrative expenses</t>
  </si>
  <si>
    <t>% of revenue</t>
  </si>
  <si>
    <t>Operating income</t>
  </si>
  <si>
    <t>Equity income (loss) – net</t>
  </si>
  <si>
    <t>Other income (loss) – net</t>
  </si>
  <si>
    <t>Income before income taxes</t>
  </si>
  <si>
    <t>Effective tax rate</t>
  </si>
  <si>
    <t>Consolidated net income</t>
  </si>
  <si>
    <t>Less: Net income attributable to NCI</t>
  </si>
  <si>
    <t>Net income attributable to KO</t>
  </si>
  <si>
    <t>Diluted EPS</t>
  </si>
  <si>
    <t>Diluted shares outstanding</t>
  </si>
  <si>
    <t>Memo: As reported</t>
  </si>
  <si>
    <t>Gross profit (reported)</t>
  </si>
  <si>
    <t>Operating income (reported)</t>
  </si>
  <si>
    <t>Pre-tax income (reported)</t>
  </si>
  <si>
    <t>Consolidated net income (reported)</t>
  </si>
  <si>
    <t>Net income attributable to KO (reported)</t>
  </si>
  <si>
    <t>Diluted EPS (reported)</t>
  </si>
  <si>
    <t>Checks (should be zero)</t>
  </si>
  <si>
    <t>Pre-tax income</t>
  </si>
  <si>
    <t>The Coca-Cola Company  (NYSE: KO)</t>
  </si>
  <si>
    <t>Cash Flow Statement</t>
  </si>
  <si>
    <t>($ in millions)</t>
  </si>
  <si>
    <t>Cash flow from operations</t>
  </si>
  <si>
    <t>Capital expenditures</t>
  </si>
  <si>
    <t>Free cash flow</t>
  </si>
  <si>
    <t>Plus: IRS tax litigation deposit</t>
  </si>
  <si>
    <t>FY25 10-K p.53</t>
  </si>
  <si>
    <t>Plus: fairlife contingent payment</t>
  </si>
  <si>
    <t>Adjusted free cash flow</t>
  </si>
  <si>
    <t>Adj. FCF % of revenue</t>
  </si>
  <si>
    <t>D&amp;A % of revenue</t>
  </si>
  <si>
    <t>CapEx % of revenue</t>
  </si>
  <si>
    <t>CapEx / D&amp;A</t>
  </si>
  <si>
    <t>Balance Sheet</t>
  </si>
  <si>
    <t>Accounts receivable, net</t>
  </si>
  <si>
    <t>PP&amp;E, net</t>
  </si>
  <si>
    <t>Total liabilities</t>
  </si>
  <si>
    <t>SHAREOWNERS' EQUITY</t>
  </si>
  <si>
    <t>Common stock</t>
  </si>
  <si>
    <t>Treasury stock</t>
  </si>
  <si>
    <t>Equity attributable to KO shareowners</t>
  </si>
  <si>
    <t>Noncontrolling interests (NCI)</t>
  </si>
  <si>
    <t>Total cash &amp; short-term investments (reported)</t>
  </si>
  <si>
    <t>Total current assets (reported)</t>
  </si>
  <si>
    <t>Total assets (reported)</t>
  </si>
  <si>
    <t>Total current liabilities (reported)</t>
  </si>
  <si>
    <t>Equity attributable to KO shareowners (reported)</t>
  </si>
  <si>
    <t>Total equity (reported)</t>
  </si>
  <si>
    <t>Total liabilities and equity (reported)</t>
  </si>
  <si>
    <t>Total current assets</t>
  </si>
  <si>
    <t>Total assets</t>
  </si>
  <si>
    <t>Total current liabilities</t>
  </si>
  <si>
    <t>Total equity</t>
  </si>
  <si>
    <t>Balance check</t>
  </si>
  <si>
    <t>Net Working Capital</t>
  </si>
  <si>
    <t>Less: Accounts payable and accrued expenses</t>
  </si>
  <si>
    <t>Plus: fairlife contingent consideration liability</t>
  </si>
  <si>
    <t>FY25 10-K, Note 8, p. 86</t>
  </si>
  <si>
    <t>Adj. Net working capital</t>
  </si>
  <si>
    <t>(Increase)/decrease in NWC</t>
  </si>
  <si>
    <t>Working capital metrics</t>
  </si>
  <si>
    <t>DSO (days)</t>
  </si>
  <si>
    <t>DIO (days)</t>
  </si>
  <si>
    <t>DPO (days)</t>
  </si>
  <si>
    <t>Prepaid % of revenue</t>
  </si>
  <si>
    <t>Cash conversion cycle (days)</t>
  </si>
  <si>
    <t>Adj. Net working capital (vs. BS)</t>
  </si>
  <si>
    <t>Adj EBIT/EBITDA</t>
  </si>
  <si>
    <t>Plus: Other operating charges</t>
  </si>
  <si>
    <t>Adjusted EBIT</t>
  </si>
  <si>
    <t>Plus: D&amp;A</t>
  </si>
  <si>
    <t>Adjusted EBITDA</t>
  </si>
  <si>
    <t>Memo: Company-reported</t>
  </si>
  <si>
    <t>Comparable operating margin (non-GAAP)</t>
  </si>
  <si>
    <t>Q4'24 &amp; Q4'25 earnings releases</t>
  </si>
  <si>
    <t>Difference vs. Adjusted EBIT margin</t>
  </si>
  <si>
    <t>Weighted Average Cost of Capital</t>
  </si>
  <si>
    <t>($ in millions, except per share data; as of September 30, 2026)</t>
  </si>
  <si>
    <t>Cost of Equity</t>
  </si>
  <si>
    <t>Source</t>
  </si>
  <si>
    <t>Input</t>
  </si>
  <si>
    <t>Risk-free rate</t>
  </si>
  <si>
    <t>U.S. Treasury 10-Year par yield as of 09/30/2026 (treasury.gov, Daily Treasury Par Yield Curve Rates)</t>
  </si>
  <si>
    <t>Unlevered beta (comps median, Blume-adjusted)</t>
  </si>
  <si>
    <t>Comps median (row 38)</t>
  </si>
  <si>
    <t>Debt / equity (market value)</t>
  </si>
  <si>
    <t>Capital structure (row 27)</t>
  </si>
  <si>
    <t>Tax rate</t>
  </si>
  <si>
    <t>DCF!I13</t>
  </si>
  <si>
    <t>Levered beta</t>
  </si>
  <si>
    <t>Hamada: βL = βU × [1 + (1 − t) × D/E]</t>
  </si>
  <si>
    <t>Equity risk premium</t>
  </si>
  <si>
    <t>Kroll recommended U.S. ERP (5.0%)</t>
  </si>
  <si>
    <t>Cost of equity</t>
  </si>
  <si>
    <t>CAPM</t>
  </si>
  <si>
    <t>Cost of Debt</t>
  </si>
  <si>
    <t>Pre-tax cost of debt</t>
  </si>
  <si>
    <t>ICE BofA Single-A US Corp. Index Effective Yield, 9/30/26 (FRED: BAMLC0A3CAEY); KO rated A+/A1</t>
  </si>
  <si>
    <t>After-tax cost of debt</t>
  </si>
  <si>
    <t>Capital Structure</t>
  </si>
  <si>
    <t>Stock Analysis historical prices, close 9/30/2026</t>
  </si>
  <si>
    <t>Diluted shares outstanding (mm)</t>
  </si>
  <si>
    <t>Q2'26 10-Q: diluted wtd. avg. shares, 3M ended 7/3/26</t>
  </si>
  <si>
    <t>Market value of equity</t>
  </si>
  <si>
    <t>Total debt</t>
  </si>
  <si>
    <t>Q2'26 10-Q balance sheet (7/3/26), see comment</t>
  </si>
  <si>
    <t>Total capitalization</t>
  </si>
  <si>
    <t>Debt / total capitalization</t>
  </si>
  <si>
    <t>Equity / total capitalization</t>
  </si>
  <si>
    <t>Debt / equity</t>
  </si>
  <si>
    <t>WACC</t>
  </si>
  <si>
    <t>Blume weight on raw beta</t>
  </si>
  <si>
    <t>Adjusted beta</t>
  </si>
  <si>
    <t>Equity value</t>
  </si>
  <si>
    <t>D/E</t>
  </si>
  <si>
    <t>Unlevered beta</t>
  </si>
  <si>
    <t>Coca-Cola Europacific Partners</t>
  </si>
  <si>
    <t>Mean</t>
  </si>
  <si>
    <t>The Coca-Cola Company (reference only)</t>
  </si>
  <si>
    <t>KO</t>
  </si>
  <si>
    <t>(1) Levered beta: 5-year beta vs. S&amp;P 500 per Stock Analysis (stockanalysis.com), accessed 10/7/2026; raw (unadjusted).</t>
  </si>
  <si>
    <t>(2) Equity value: 9/30/2026 closing price x latest shares outstanding (Stock Analysis); see cell comments.</t>
  </si>
  <si>
    <t>(3) Total debt: latest reported quarter per Stock Analysis (may include lease liabilities). CCEP figures in USD.</t>
  </si>
  <si>
    <t>(4) Tax rate: statutory rate (U.S. federal 21%; U.K. 25% for CCEP).</t>
  </si>
  <si>
    <t>(5) KO shown for reference only; excluded from mean/median. KDP leverage elevated following JDE Peet's acquisition.</t>
  </si>
  <si>
    <t>(6) Adjusted beta = 0.67 × raw beta + 0.33 × 1.0 (Blume adjustment; consistent with Bloomberg adjusted beta).</t>
  </si>
  <si>
    <t>CCBA Deconsolidation – Pro Forma Analysis</t>
  </si>
  <si>
    <t>($ in millions, unless otherwise noted)</t>
  </si>
  <si>
    <t>A. Bottling Investments segment (FY2025A)</t>
  </si>
  <si>
    <t>Operating margin %</t>
  </si>
  <si>
    <t>D&amp;A</t>
  </si>
  <si>
    <t>CapEx</t>
  </si>
  <si>
    <t>B. CCBA size estimate</t>
  </si>
  <si>
    <t>KO net operating revenues</t>
  </si>
  <si>
    <t>Less: Bottling Investments revenue</t>
  </si>
  <si>
    <t>KO revenue ex-Bottling Investments</t>
  </si>
  <si>
    <t>Bottling Investments % of post-deal revenue</t>
  </si>
  <si>
    <t>Implied remaining Bottling Investments revenue</t>
  </si>
  <si>
    <t>Implied CCBA revenue</t>
  </si>
  <si>
    <t>% of KO revenue</t>
  </si>
  <si>
    <t>Implied CCBA operating income</t>
  </si>
  <si>
    <t>Implied CCBA D&amp;A</t>
  </si>
  <si>
    <t>Implied CCBA CapEx</t>
  </si>
  <si>
    <t>C. Pro forma FY2025A (ex-CCBA)</t>
  </si>
  <si>
    <t>Reported</t>
  </si>
  <si>
    <t>Less: CCBA</t>
  </si>
  <si>
    <t>Pro Forma</t>
  </si>
  <si>
    <t>Δ</t>
  </si>
  <si>
    <t>% of revenues</t>
  </si>
  <si>
    <t>Check: Adj. EBITDA vs. Adj tab</t>
  </si>
  <si>
    <t>Check: Bottling Inv. % of post-deal revenue</t>
  </si>
  <si>
    <t>D. FY2027E Revenue Impact</t>
  </si>
  <si>
    <t>CCBA revenue FY2025A</t>
  </si>
  <si>
    <t>CCBA growth FY2026E (organic + FX)</t>
  </si>
  <si>
    <t>CCBA revenue FY2026E</t>
  </si>
  <si>
    <t>KO revenue FY2026E</t>
  </si>
  <si>
    <t>FY2027E structural impact</t>
  </si>
  <si>
    <t>E. Pro Forma Bridge Adjustments</t>
  </si>
  <si>
    <t>CCBA equity value (100%)</t>
  </si>
  <si>
    <t>KO release, 10/21/25</t>
  </si>
  <si>
    <t>Stake sold to Coca-Cola HBC</t>
  </si>
  <si>
    <t>Stake retained by KO</t>
  </si>
  <si>
    <t>Sale proceeds (pre-tax)</t>
  </si>
  <si>
    <t>Value of retained stake</t>
  </si>
  <si>
    <t>Assets held for sale (7/3/26)</t>
  </si>
  <si>
    <t>Q2'26 10-Q</t>
  </si>
  <si>
    <t>Liabilities held for sale (7/3/26)</t>
  </si>
  <si>
    <t>Net assets held for sale</t>
  </si>
  <si>
    <t>Third-party interest in CCBA</t>
  </si>
  <si>
    <t>CCBA NCI (est.)</t>
  </si>
  <si>
    <t>1. Bottling Investments segment data: FY2025 10-K, operating segments note (EDGAR R125).</t>
  </si>
  <si>
    <t>2. 5.0% post-deal share: KO press release, 10/21/2025.</t>
  </si>
  <si>
    <t>3. CCBA margin, D&amp;A and CapEx ratios assumed equal to the Bottling Investments segment average; CCBA is not disclosed separately.</t>
  </si>
  <si>
    <t>4. Close expected 2H26; treated as fully deconsolidated from FY2027E.</t>
  </si>
  <si>
    <t>Equity Method Investments – Listed Stakes at Market Value</t>
  </si>
  <si>
    <t>KO ownership</t>
  </si>
  <si>
    <t>Market cap</t>
  </si>
  <si>
    <t>KO stake value</t>
  </si>
  <si>
    <t>Carrying value (12/31/25)</t>
  </si>
  <si>
    <t>9/30/26 close $41.62 × 1,959.1mm sh. (Stock Analysis)</t>
  </si>
  <si>
    <t>9/30/26 close $101.71 × 443.18mm sh. (Stock Analysis)</t>
  </si>
  <si>
    <t>Coca-Cola FEMSA</t>
  </si>
  <si>
    <t>KOF</t>
  </si>
  <si>
    <t>9/30/26 ADS close $108.04 × 210.08mm ADS (Stock Analysis)</t>
  </si>
  <si>
    <t>Coca-Cola HBC</t>
  </si>
  <si>
    <t>LON:CCH</t>
  </si>
  <si>
    <t>9/30/26 close 4,354p × 364.46mm sh. × 1.3267 USD/GBP (FRED)</t>
  </si>
  <si>
    <t>Coca-Cola Bottlers Japan</t>
  </si>
  <si>
    <t>TYO:2579</t>
  </si>
  <si>
    <t>10/8/26 mkt cap ¥604.93bn ÷ 157.25 JPY/USD (9/30, FRED)</t>
  </si>
  <si>
    <t>Coca-Cola İçecek</t>
  </si>
  <si>
    <t>IST:CCOLA</t>
  </si>
  <si>
    <t>n.a.</t>
  </si>
  <si>
    <t>Fair value 12/31/25 per KO FY25 10-K</t>
  </si>
  <si>
    <t>Embotelladora Andina</t>
  </si>
  <si>
    <t>SNSE:ANDINA</t>
  </si>
  <si>
    <t>Total listed stakes</t>
  </si>
  <si>
    <t>Carrying value per 10-K (12/31/25)</t>
  </si>
  <si>
    <t>Check (should be zero)</t>
  </si>
  <si>
    <t>Adjusted Equity Method Investments</t>
  </si>
  <si>
    <t>Equity method investments, book value (7/3/26)</t>
  </si>
  <si>
    <t>Q2'26 10-Q balance sheet</t>
  </si>
  <si>
    <t>Less: Carrying value of listed stakes</t>
  </si>
  <si>
    <t>Unlisted / other equity method investments (book value)</t>
  </si>
  <si>
    <t>Plus: Market value of listed stakes</t>
  </si>
  <si>
    <t>Equity method investments, adjusted</t>
  </si>
  <si>
    <t>(1) Ownership per KO FY2025 10-K (Equity Method Investments note). Market values as of 9/30/2026 valuation date unless noted.</t>
  </si>
  <si>
    <t>(2) Coca-Cola İçecek and Embotelladora Andina at 12/31/25 fair value per 10-K (immaterial; not rolled forward).</t>
  </si>
  <si>
    <t>(3) Carrying values of listed stakes are 12/31/25 (latest disclosed); total book value is 7/3/26. Unlisted stakes (e.g., AC Bebidas) kept at book value.</t>
  </si>
  <si>
    <t>(4) No tax on unrealized gains or minority discount applied.</t>
  </si>
  <si>
    <t>Discounted Cash Flow Analysis</t>
  </si>
  <si>
    <t>Historical</t>
  </si>
  <si>
    <t>Projected</t>
  </si>
  <si>
    <t>Key assumptions</t>
  </si>
  <si>
    <t>Organic growth %</t>
  </si>
  <si>
    <t>FX impact %</t>
  </si>
  <si>
    <t>Acquisitions/Divestitures %</t>
  </si>
  <si>
    <t>Revenue growth %</t>
  </si>
  <si>
    <t>Adjusted EBIT margin %</t>
  </si>
  <si>
    <t>Tax rate %</t>
  </si>
  <si>
    <t>Q2'26 release: ETR 19.9%</t>
  </si>
  <si>
    <t>Adj. NWC % of revenue</t>
  </si>
  <si>
    <t>Unlevered free cash flow</t>
  </si>
  <si>
    <t>Revenue</t>
  </si>
  <si>
    <t>Less: Taxes</t>
  </si>
  <si>
    <t>NOPAT</t>
  </si>
  <si>
    <t>Less: CapEx</t>
  </si>
  <si>
    <t>(Increase)/Decrease in NWC</t>
  </si>
  <si>
    <t>Memo: Adj. Net working capital</t>
  </si>
  <si>
    <t>Memo: Adj. EBITDA</t>
  </si>
  <si>
    <t>Terminal Value</t>
  </si>
  <si>
    <t>Perpetuity Growth Method</t>
  </si>
  <si>
    <t>Terminal year UFCF (FY2030E)</t>
  </si>
  <si>
    <t>Perpetuity growth rate</t>
  </si>
  <si>
    <t>≤ long-term nominal GDP; &lt; Rf (5.29%); = FY30E organic growth</t>
  </si>
  <si>
    <t>WACC tab (rounded to 0.01%)</t>
  </si>
  <si>
    <t>Terminal value</t>
  </si>
  <si>
    <t>Implied EV / LTM EBITDA</t>
  </si>
  <si>
    <t>Implied EV / NTM EBITDA</t>
  </si>
  <si>
    <t>Exit Multiple Method</t>
  </si>
  <si>
    <t>Terminal year Adj. EBITDA (FY2030E)</t>
  </si>
  <si>
    <t>Exit multiple (EV / LTM EBITDA)</t>
  </si>
  <si>
    <t>Premium to comps median (12.6x), discount to KO current (23.5x) given maturity by FY30E</t>
  </si>
  <si>
    <t>Implied perpetuity growth rate</t>
  </si>
  <si>
    <t>Exit multiple reference: EV / LTM EBITDA</t>
  </si>
  <si>
    <t>Comp tab (LTM adj. EBITDA, 9/30/26 prices)</t>
  </si>
  <si>
    <t>The Coca-Cola Company (Current)</t>
  </si>
  <si>
    <t>Discounting</t>
  </si>
  <si>
    <t>Valuation date</t>
  </si>
  <si>
    <t>Fiscal year end</t>
  </si>
  <si>
    <t>Year fraction</t>
  </si>
  <si>
    <t>UFCF (stub-adjusted)</t>
  </si>
  <si>
    <t>Discount period (mid-year)</t>
  </si>
  <si>
    <t>Discount factor</t>
  </si>
  <si>
    <t>PV of UFCF</t>
  </si>
  <si>
    <t>Perpetuity Growth</t>
  </si>
  <si>
    <t>Exit Multiple</t>
  </si>
  <si>
    <t>Sum of PV of UFCF</t>
  </si>
  <si>
    <t>Discount period for TV</t>
  </si>
  <si>
    <t>Discount factor for TV</t>
  </si>
  <si>
    <t>PV of terminal value</t>
  </si>
  <si>
    <t>Enterprise value</t>
  </si>
  <si>
    <t>PV of TV as % of EV</t>
  </si>
  <si>
    <t>Equity Value Bridge</t>
  </si>
  <si>
    <t>Less: Total debt</t>
  </si>
  <si>
    <t>WACC tab</t>
  </si>
  <si>
    <t>Plus: Cash, ST investments &amp; marketable securities</t>
  </si>
  <si>
    <t>Plus: Equity method investments (listed stakes at market value)</t>
  </si>
  <si>
    <t>EMI tab</t>
  </si>
  <si>
    <t>Less: Noncontrolling interest</t>
  </si>
  <si>
    <t>Plus: CCBA NCI deconsolidated (est.)</t>
  </si>
  <si>
    <t>CCBA tab</t>
  </si>
  <si>
    <t>Plus: CCBA sale proceeds (41.52%)</t>
  </si>
  <si>
    <t>Plus: Retained 25% CCBA stake</t>
  </si>
  <si>
    <t>Implied share price</t>
  </si>
  <si>
    <t>Current share price (9/30/26)</t>
  </si>
  <si>
    <t>Implied upside / (downside)</t>
  </si>
  <si>
    <t>(1) Revenue: Built up as organic growth + FX + acquisitions/divestitures, consistent with company disclosure. FY26E per Q2'26 guidance (7/28/26): organic ~5%, FX ~+1%, M&amp;A (2%)–(3%). Organic fades to 3.0% by FY30E, converging toward long-term growth; FX held flat beyond FY26E. M&amp;A: (2.5%) in FY26E per guidance; FY27E reflects CCBA deconsolidation of (7.5%) (see CCBA tab); nil thereafter.</t>
  </si>
  <si>
    <t>(2) Adj. EBIT margin: 31.5% in FY26E; 
steps up to 33.5% in FY27E on CCBA deconsolidation (pro forma FY25A ex-CCBA: 33.2%, see CCBA tab), expanding modestly to 33.8% by FY29E.</t>
  </si>
  <si>
    <t>(3) Tax rate: 20.0%, based on FY26 underlying effective tax rate of 19.9% (Q2'26 earnings release).
    Historical ETR (~18%) is understated as equity income is largely taxed at the investee level.</t>
  </si>
  <si>
    <t>(4) D&amp;A: 2.2% in FY26E (in line with FY25A); 2.0% from 
FY27E (pro forma FY25A ex-CCBA: 1.9%).</t>
  </si>
  <si>
    <t>(5) CapEx: 4.4% in FY26E (guidance ~$2.2bn); 3.9% in FY27E 
(pro forma ex-CCBA: 4.0%), declining to 3.6% by FY30E.</t>
  </si>
  <si>
    <t>(6) NWC: (10.0%) of revenue, in line with FY24A–FY25A adjusted levels 
(excl. fairlife contingent consideration).</t>
  </si>
  <si>
    <t>(7) CCBA: KO to sell 41.52% of its 66.52% stake to Coca-Cola HBC, 
retaining 25% (KO release, 10/21/25); close expected 2H26. Sale proceeds and the retained stake are reflected in the EV-to-equity bridge.</t>
  </si>
  <si>
    <t>(8) Terminal value: perpetuity growth rate of 3.0% (≤ long-term nominal GDP, consistent with FY30E organic growth); exit multiple of 18.0x LTM EBITDA (premium to comps median of 12.6x, discount to KO's current 23.5x). Each method cross-checked via implied multiple / implied growth rate.</t>
  </si>
  <si>
    <t>(9) Balance sheet items (debt, cash, NCI, equity method investments) per Q2'26 10-Q (7/3/26), the latest filing available at the 9/30/26 valuation date; Q3'26 cash generation is not reflected.</t>
  </si>
  <si>
    <t>Sensitivity: Implied Share Price - Perpetuity Growth Method</t>
  </si>
  <si>
    <t>Sensitivity: Implied Share Price - Exit Multiple Method</t>
  </si>
  <si>
    <t>KO LTM Adj. EBITDA</t>
  </si>
  <si>
    <t>LTM Adj.EBIT</t>
  </si>
  <si>
    <t>D&amp;A - FY2025</t>
  </si>
  <si>
    <t>LTM Adj.EBITDA (as reported)</t>
  </si>
  <si>
    <t>LTM Adj. EBITDA (pro forma ex-CCBA)</t>
  </si>
  <si>
    <t>KO Q2'26 10-Q</t>
  </si>
  <si>
    <t>Plus: D&amp;A - H1 2026</t>
  </si>
  <si>
    <t>Less: D&amp;A - H1 2025</t>
  </si>
  <si>
    <t>Plus: Adj.EBIT - H1 2026</t>
  </si>
  <si>
    <t>Less:Adj.EBIT - H1 2025</t>
  </si>
  <si>
    <t>Adj. EBIT - FY2025</t>
  </si>
  <si>
    <t>Less:CCBA EBITDA (to be deconsolidated)</t>
  </si>
  <si>
    <t>KO NTM EPS (consensus)</t>
  </si>
  <si>
    <t>FY2026E EPS</t>
  </si>
  <si>
    <t>Weight on FY2026E</t>
  </si>
  <si>
    <t>NTM EPS</t>
  </si>
  <si>
    <t>Implied Share Price</t>
  </si>
  <si>
    <t>EV / LTM Adj.EBITDA</t>
  </si>
  <si>
    <t>Multiple</t>
  </si>
  <si>
    <t>Implied enterprise value</t>
  </si>
  <si>
    <t>Plus:EV-to-equity bridge</t>
  </si>
  <si>
    <t>Implied equity value</t>
  </si>
  <si>
    <t>Selected Range</t>
  </si>
  <si>
    <t>Memo: KO at current price - EV / LTM EBITDA</t>
  </si>
  <si>
    <t>Memo: KO at current price - NTM P/E</t>
  </si>
  <si>
    <t>Low</t>
  </si>
  <si>
    <t>High</t>
  </si>
  <si>
    <t>(7) Selected ranges reflect a premium to peer medians given KO's asset-light concentrate model, industry-leading margins (~33% Adj. EBIT) and brand strength; MNST excluded from range-setting as a high-growth outlier. KO currently trades at 21.2x LTM EBITDA / 24.8x NTM P/E.</t>
  </si>
  <si>
    <t>Implied KO Share price</t>
  </si>
  <si>
    <t>FY2027E EPS</t>
  </si>
  <si>
    <t>Valuation Summary – Football Field</t>
  </si>
  <si>
    <t>($ per share)</t>
  </si>
  <si>
    <t>Methodology</t>
  </si>
  <si>
    <t>Assumption</t>
  </si>
  <si>
    <t>Spread</t>
  </si>
  <si>
    <t>52-week trading range</t>
  </si>
  <si>
    <t>Analyst price targets</t>
  </si>
  <si>
    <t>Trading comps - EV / LTM EBITDA</t>
  </si>
  <si>
    <t>Trading comps - NTM P/E</t>
  </si>
  <si>
    <t>DCF - Perpetuity growth</t>
  </si>
  <si>
    <t>Intraday, 10/1/25 - 9/30/26</t>
  </si>
  <si>
    <t>24 analysts, as of 10/9/26</t>
  </si>
  <si>
    <t>WACC 7.15%–8.15%; g 2.5%–3.5%</t>
  </si>
  <si>
    <t>WACC 7.15%–8.15%; 17.0x–19.0x</t>
  </si>
  <si>
    <t>DCF - Exit multiple</t>
  </si>
  <si>
    <t>Y</t>
  </si>
  <si>
    <t>Price line X</t>
  </si>
  <si>
    <t>Key takeaways:</t>
  </si>
  <si>
    <t>(1) Fundamental valuation (DCF $59–$86; comps $54–$80) sits below the current price of $86.08, which is supported only by the 52-week range and analyst targets.</t>
  </si>
  <si>
    <t>(2) The market is paying a premium for KO's brand, asset-light model and defensive cash flows (21.2x LTM EBITDA vs. peer median 12.6x) — implying a lower WACC or higher long-term growth than our base case.</t>
  </si>
  <si>
    <t>(3) On our assumptions, KO screens as fully valued; upside requires WACC ≤ ~7.2% with g ≥ 3.5%.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</si>
</sst>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&quot;FY&quot;0&quot;A&quot;"/>
    <numFmt numFmtId="165" formatCode="0.0%_);\(0.0%\)"/>
    <numFmt numFmtId="166" formatCode="\$0.00_);\(\$0.00\)"/>
    <numFmt numFmtId="167" formatCode="0.00_);\(0.00\)"/>
    <numFmt numFmtId="168" formatCode="#,##0_);\(#,##0\);&quot;-&quot;_)"/>
    <numFmt numFmtId="169" formatCode="0.0\x_)"/>
    <numFmt numFmtId="170" formatCode="&quot;$&quot;#,##0_);[Red]\(&quot;$&quot;#,##0\)"/>
    <numFmt numFmtId="171" formatCode="#,##0.0_);\(#,##0.0\);&quot;-&quot;_)"/>
    <numFmt numFmtId="172" formatCode="#,##0_);\(#,##0\);&quot;–&quot;_)"/>
    <numFmt numFmtId="173" formatCode="0.0%_);\(0.0%\);&quot;–&quot;_)"/>
    <numFmt numFmtId="174" formatCode="#,##0.0_);\(#,##0.0\);&quot;–&quot;_)"/>
    <numFmt numFmtId="175" formatCode="0.00%_);\(0.00%\);&quot;–&quot;_)"/>
    <numFmt numFmtId="176" formatCode="\$#,##0.00_);\(\$#,##0.00\)"/>
    <numFmt numFmtId="177" formatCode="0.0\x"/>
    <numFmt numFmtId="178" formatCode="0.0000"/>
    <numFmt numFmtId="179" formatCode="&quot;FY&quot;0&quot;E&quot;"/>
    <numFmt numFmtId="180" formatCode="0.00%_);\(0.00%\)"/>
    <numFmt numFmtId="181" formatCode="m/d/yyyy_)"/>
    <numFmt numFmtId="182" formatCode="0.0000_);\(0.0000\)"/>
    <numFmt numFmtId="183" formatCode="&quot;$&quot;0.00"/>
    <numFmt numFmtId="184" formatCode="m/d/yy"/>
    <numFmt numFmtId="185" formatCode="0.00_);\(0.00\);&quot;–&quot;_)"/>
    <numFmt numFmtId="186" formatCode="0.0%"/>
    <numFmt numFmtId="187" formatCode="#,##0.00_);\(#,##0.00\);&quot;–&quot;_)"/>
  </numFmts>
  <fonts count="57">
    <font>
      <sz val="12"/>
      <color theme="1"/>
      <name val="Aptos Narrow"/>
      <family val="2"/>
      <scheme val="minor"/>
    </font>
    <font>
      <sz val="12"/>
      <color theme="1"/>
      <name val="Aptos Narrow (Body)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0432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2"/>
      <color theme="1"/>
      <name val="Aptos Narrow"/>
      <family val="2"/>
      <scheme val="minor"/>
    </font>
    <font>
      <sz val="14"/>
      <color rgb="FF000000"/>
      <name val="Times"/>
    </font>
    <font>
      <u/>
      <sz val="12"/>
      <color theme="10"/>
      <name val="Aptos Narrow"/>
      <family val="2"/>
      <scheme val="minor"/>
    </font>
    <font>
      <b/>
      <sz val="10"/>
      <color rgb="FF0432FF"/>
      <name val="Arial"/>
      <family val="2"/>
    </font>
    <font>
      <i/>
      <sz val="10"/>
      <color rgb="FF008200"/>
      <name val="Arial"/>
      <family val="2"/>
    </font>
    <font>
      <sz val="12"/>
      <color theme="1"/>
      <name val="Times"/>
    </font>
    <font>
      <b/>
      <sz val="12"/>
      <name val="Aptos Narrow"/>
    </font>
    <font>
      <sz val="10"/>
      <color rgb="FF008000"/>
      <name val="Arial"/>
      <family val="2"/>
    </font>
    <font>
      <i/>
      <sz val="10"/>
      <color rgb="FF008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8000"/>
      <name val="Arial"/>
      <family val="2"/>
    </font>
    <font>
      <i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theme="1"/>
      <name val="Arial Unicode MS"/>
      <family val="2"/>
    </font>
    <font>
      <b/>
      <sz val="10"/>
      <color theme="1" tint="4.9989318521683403E-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sz val="12"/>
      <color theme="1"/>
      <name val="Aptos Narrow"/>
    </font>
    <font>
      <b/>
      <sz val="10"/>
      <color rgb="FF008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i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8000"/>
      <name val="Arial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8000"/>
      <name val="Aptos Narrow"/>
      <family val="2"/>
      <scheme val="minor"/>
    </font>
    <font>
      <sz val="12"/>
      <color rgb="FF0000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4" fillId="0" borderId="0"/>
  </cellStyleXfs>
  <cellXfs count="239">
    <xf numFmtId="0" fontId="0" fillId="0" borderId="0" xfId="0"/>
    <xf numFmtId="1" fontId="0" fillId="0" borderId="0" xfId="0" applyNumberFormat="1"/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0" fillId="0" borderId="2" xfId="0" applyFont="1" applyBorder="1"/>
    <xf numFmtId="164" fontId="11" fillId="0" borderId="2" xfId="0" applyNumberFormat="1" applyFont="1" applyBorder="1" applyAlignment="1">
      <alignment horizontal="right"/>
    </xf>
    <xf numFmtId="164" fontId="10" fillId="0" borderId="2" xfId="0" applyNumberFormat="1" applyFont="1" applyBorder="1" applyAlignment="1">
      <alignment horizontal="right"/>
    </xf>
    <xf numFmtId="1" fontId="7" fillId="0" borderId="0" xfId="0" applyNumberFormat="1" applyFont="1"/>
    <xf numFmtId="37" fontId="7" fillId="0" borderId="0" xfId="0" applyNumberFormat="1" applyFont="1" applyAlignment="1">
      <alignment horizontal="right"/>
    </xf>
    <xf numFmtId="37" fontId="8" fillId="0" borderId="0" xfId="0" applyNumberFormat="1" applyFont="1" applyAlignment="1">
      <alignment horizontal="right"/>
    </xf>
    <xf numFmtId="1" fontId="9" fillId="0" borderId="0" xfId="0" applyNumberFormat="1" applyFont="1" applyAlignment="1">
      <alignment indent="1"/>
    </xf>
    <xf numFmtId="165" fontId="9" fillId="0" borderId="0" xfId="0" applyNumberFormat="1" applyFont="1" applyAlignment="1">
      <alignment horizontal="right"/>
    </xf>
    <xf numFmtId="1" fontId="10" fillId="0" borderId="1" xfId="0" applyNumberFormat="1" applyFont="1" applyBorder="1"/>
    <xf numFmtId="0" fontId="0" fillId="0" borderId="1" xfId="0" applyBorder="1"/>
    <xf numFmtId="37" fontId="10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right"/>
    </xf>
    <xf numFmtId="166" fontId="7" fillId="0" borderId="0" xfId="0" applyNumberFormat="1" applyFont="1" applyAlignment="1">
      <alignment horizontal="right"/>
    </xf>
    <xf numFmtId="0" fontId="7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166" fontId="8" fillId="0" borderId="0" xfId="0" applyNumberFormat="1" applyFont="1" applyAlignment="1">
      <alignment horizontal="right"/>
    </xf>
    <xf numFmtId="167" fontId="7" fillId="0" borderId="0" xfId="0" applyNumberFormat="1" applyFont="1" applyAlignment="1">
      <alignment horizontal="right"/>
    </xf>
    <xf numFmtId="0" fontId="13" fillId="0" borderId="0" xfId="0" applyFont="1"/>
    <xf numFmtId="0" fontId="12" fillId="0" borderId="0" xfId="0" applyFont="1"/>
    <xf numFmtId="0" fontId="14" fillId="0" borderId="0" xfId="1"/>
    <xf numFmtId="37" fontId="2" fillId="0" borderId="0" xfId="0" applyNumberFormat="1" applyFont="1"/>
    <xf numFmtId="164" fontId="15" fillId="0" borderId="0" xfId="0" applyNumberFormat="1" applyFont="1"/>
    <xf numFmtId="164" fontId="4" fillId="0" borderId="0" xfId="0" applyNumberFormat="1" applyFont="1"/>
    <xf numFmtId="0" fontId="3" fillId="0" borderId="0" xfId="0" applyFont="1" applyAlignment="1">
      <alignment horizontal="left" indent="1"/>
    </xf>
    <xf numFmtId="165" fontId="16" fillId="0" borderId="0" xfId="0" applyNumberFormat="1" applyFont="1"/>
    <xf numFmtId="0" fontId="2" fillId="0" borderId="3" xfId="0" applyFont="1" applyBorder="1"/>
    <xf numFmtId="37" fontId="4" fillId="0" borderId="0" xfId="0" applyNumberFormat="1" applyFont="1"/>
    <xf numFmtId="37" fontId="6" fillId="0" borderId="0" xfId="0" applyNumberFormat="1" applyFont="1"/>
    <xf numFmtId="37" fontId="6" fillId="0" borderId="3" xfId="0" applyNumberFormat="1" applyFont="1" applyBorder="1"/>
    <xf numFmtId="37" fontId="4" fillId="0" borderId="4" xfId="0" applyNumberFormat="1" applyFont="1" applyBorder="1"/>
    <xf numFmtId="0" fontId="2" fillId="0" borderId="4" xfId="0" applyFont="1" applyBorder="1"/>
    <xf numFmtId="0" fontId="4" fillId="0" borderId="4" xfId="0" applyFont="1" applyBorder="1" applyAlignment="1">
      <alignment horizontal="left"/>
    </xf>
    <xf numFmtId="0" fontId="4" fillId="0" borderId="4" xfId="0" applyFont="1" applyBorder="1"/>
    <xf numFmtId="168" fontId="6" fillId="0" borderId="0" xfId="0" applyNumberFormat="1" applyFont="1"/>
    <xf numFmtId="169" fontId="3" fillId="0" borderId="0" xfId="0" applyNumberFormat="1" applyFont="1"/>
    <xf numFmtId="0" fontId="17" fillId="0" borderId="0" xfId="0" applyFont="1"/>
    <xf numFmtId="170" fontId="17" fillId="0" borderId="0" xfId="0" applyNumberFormat="1" applyFont="1"/>
    <xf numFmtId="3" fontId="17" fillId="0" borderId="0" xfId="0" applyNumberFormat="1" applyFont="1"/>
    <xf numFmtId="0" fontId="18" fillId="0" borderId="0" xfId="0" applyFont="1"/>
    <xf numFmtId="168" fontId="2" fillId="0" borderId="0" xfId="0" applyNumberFormat="1" applyFont="1"/>
    <xf numFmtId="168" fontId="4" fillId="0" borderId="4" xfId="0" applyNumberFormat="1" applyFont="1" applyBorder="1"/>
    <xf numFmtId="164" fontId="10" fillId="0" borderId="0" xfId="0" applyNumberFormat="1" applyFont="1"/>
    <xf numFmtId="0" fontId="9" fillId="0" borderId="0" xfId="0" applyFont="1" applyAlignment="1">
      <alignment horizontal="left" indent="1"/>
    </xf>
    <xf numFmtId="165" fontId="2" fillId="0" borderId="0" xfId="0" applyNumberFormat="1" applyFont="1"/>
    <xf numFmtId="0" fontId="10" fillId="0" borderId="4" xfId="0" applyFont="1" applyBorder="1"/>
    <xf numFmtId="171" fontId="20" fillId="0" borderId="0" xfId="0" applyNumberFormat="1" applyFont="1"/>
    <xf numFmtId="165" fontId="20" fillId="0" borderId="0" xfId="0" applyNumberFormat="1" applyFont="1"/>
    <xf numFmtId="37" fontId="19" fillId="0" borderId="0" xfId="0" applyNumberFormat="1" applyFont="1"/>
    <xf numFmtId="165" fontId="23" fillId="0" borderId="0" xfId="0" applyNumberFormat="1" applyFont="1"/>
    <xf numFmtId="168" fontId="21" fillId="0" borderId="0" xfId="0" applyNumberFormat="1" applyFont="1"/>
    <xf numFmtId="0" fontId="22" fillId="0" borderId="0" xfId="0" applyFont="1"/>
    <xf numFmtId="168" fontId="22" fillId="0" borderId="0" xfId="0" applyNumberFormat="1" applyFont="1"/>
    <xf numFmtId="0" fontId="24" fillId="0" borderId="0" xfId="0" applyFont="1" applyAlignment="1">
      <alignment horizontal="left" indent="1"/>
    </xf>
    <xf numFmtId="171" fontId="24" fillId="0" borderId="0" xfId="0" applyNumberFormat="1" applyFont="1"/>
    <xf numFmtId="172" fontId="22" fillId="0" borderId="0" xfId="0" applyNumberFormat="1" applyFont="1"/>
    <xf numFmtId="165" fontId="25" fillId="0" borderId="0" xfId="0" applyNumberFormat="1" applyFont="1"/>
    <xf numFmtId="0" fontId="24" fillId="0" borderId="0" xfId="0" applyFont="1"/>
    <xf numFmtId="173" fontId="24" fillId="0" borderId="0" xfId="0" applyNumberFormat="1" applyFont="1"/>
    <xf numFmtId="0" fontId="19" fillId="0" borderId="0" xfId="0" applyFont="1"/>
    <xf numFmtId="0" fontId="2" fillId="0" borderId="0" xfId="0" applyFont="1" applyAlignment="1">
      <alignment horizontal="left" indent="1"/>
    </xf>
    <xf numFmtId="0" fontId="2" fillId="0" borderId="5" xfId="0" applyFont="1" applyBorder="1"/>
    <xf numFmtId="165" fontId="2" fillId="0" borderId="5" xfId="0" applyNumberFormat="1" applyFont="1" applyBorder="1"/>
    <xf numFmtId="37" fontId="19" fillId="0" borderId="5" xfId="0" applyNumberFormat="1" applyFont="1" applyBorder="1"/>
    <xf numFmtId="37" fontId="2" fillId="0" borderId="5" xfId="0" applyNumberFormat="1" applyFont="1" applyBorder="1"/>
    <xf numFmtId="37" fontId="4" fillId="0" borderId="6" xfId="0" applyNumberFormat="1" applyFont="1" applyBorder="1"/>
    <xf numFmtId="165" fontId="8" fillId="0" borderId="0" xfId="0" applyNumberFormat="1" applyFont="1"/>
    <xf numFmtId="173" fontId="2" fillId="0" borderId="0" xfId="0" applyNumberFormat="1" applyFont="1"/>
    <xf numFmtId="173" fontId="2" fillId="0" borderId="5" xfId="0" applyNumberFormat="1" applyFont="1" applyBorder="1"/>
    <xf numFmtId="173" fontId="8" fillId="0" borderId="0" xfId="0" applyNumberFormat="1" applyFont="1"/>
    <xf numFmtId="171" fontId="19" fillId="0" borderId="0" xfId="0" applyNumberFormat="1" applyFont="1"/>
    <xf numFmtId="0" fontId="26" fillId="0" borderId="0" xfId="0" applyFont="1"/>
    <xf numFmtId="172" fontId="7" fillId="0" borderId="0" xfId="0" applyNumberFormat="1" applyFont="1"/>
    <xf numFmtId="0" fontId="2" fillId="0" borderId="0" xfId="0" applyFont="1" applyAlignment="1">
      <alignment horizontal="left" indent="2"/>
    </xf>
    <xf numFmtId="0" fontId="4" fillId="0" borderId="4" xfId="0" applyFont="1" applyBorder="1" applyAlignment="1">
      <alignment horizontal="left" indent="1"/>
    </xf>
    <xf numFmtId="165" fontId="4" fillId="0" borderId="4" xfId="0" applyNumberFormat="1" applyFont="1" applyBorder="1"/>
    <xf numFmtId="165" fontId="4" fillId="0" borderId="6" xfId="0" applyNumberFormat="1" applyFont="1" applyBorder="1"/>
    <xf numFmtId="165" fontId="27" fillId="0" borderId="4" xfId="0" applyNumberFormat="1" applyFont="1" applyBorder="1"/>
    <xf numFmtId="0" fontId="4" fillId="0" borderId="0" xfId="0" applyFont="1" applyAlignment="1">
      <alignment horizontal="left"/>
    </xf>
    <xf numFmtId="172" fontId="2" fillId="0" borderId="0" xfId="0" applyNumberFormat="1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172" fontId="8" fillId="0" borderId="0" xfId="0" applyNumberFormat="1" applyFont="1"/>
    <xf numFmtId="0" fontId="30" fillId="0" borderId="0" xfId="0" applyFont="1" applyAlignment="1">
      <alignment horizontal="left" indent="1"/>
    </xf>
    <xf numFmtId="173" fontId="30" fillId="0" borderId="0" xfId="0" applyNumberFormat="1" applyFont="1"/>
    <xf numFmtId="0" fontId="2" fillId="0" borderId="0" xfId="0" applyFont="1" applyAlignment="1">
      <alignment horizontal="left"/>
    </xf>
    <xf numFmtId="172" fontId="19" fillId="0" borderId="0" xfId="0" applyNumberFormat="1" applyFont="1"/>
    <xf numFmtId="172" fontId="31" fillId="0" borderId="0" xfId="0" applyNumberFormat="1" applyFont="1"/>
    <xf numFmtId="172" fontId="4" fillId="0" borderId="4" xfId="0" applyNumberFormat="1" applyFont="1" applyBorder="1"/>
    <xf numFmtId="173" fontId="32" fillId="0" borderId="0" xfId="0" applyNumberFormat="1" applyFont="1"/>
    <xf numFmtId="0" fontId="4" fillId="0" borderId="7" xfId="0" applyFont="1" applyBorder="1" applyAlignment="1">
      <alignment horizontal="right"/>
    </xf>
    <xf numFmtId="172" fontId="29" fillId="0" borderId="0" xfId="0" applyNumberFormat="1" applyFont="1"/>
    <xf numFmtId="173" fontId="32" fillId="0" borderId="5" xfId="0" applyNumberFormat="1" applyFont="1" applyBorder="1"/>
    <xf numFmtId="173" fontId="19" fillId="0" borderId="0" xfId="0" applyNumberFormat="1" applyFont="1"/>
    <xf numFmtId="174" fontId="2" fillId="0" borderId="0" xfId="0" applyNumberFormat="1" applyFont="1"/>
    <xf numFmtId="173" fontId="33" fillId="0" borderId="0" xfId="0" applyNumberFormat="1" applyFont="1"/>
    <xf numFmtId="173" fontId="34" fillId="0" borderId="0" xfId="0" applyNumberFormat="1" applyFont="1"/>
    <xf numFmtId="0" fontId="35" fillId="0" borderId="0" xfId="0" applyFont="1"/>
    <xf numFmtId="0" fontId="36" fillId="0" borderId="0" xfId="0" applyFont="1"/>
    <xf numFmtId="0" fontId="4" fillId="0" borderId="8" xfId="0" applyFont="1" applyBorder="1"/>
    <xf numFmtId="0" fontId="4" fillId="0" borderId="8" xfId="0" applyFont="1" applyBorder="1" applyAlignment="1">
      <alignment horizontal="right"/>
    </xf>
    <xf numFmtId="175" fontId="8" fillId="0" borderId="0" xfId="0" applyNumberFormat="1" applyFont="1"/>
    <xf numFmtId="0" fontId="4" fillId="0" borderId="9" xfId="0" applyFont="1" applyBorder="1"/>
    <xf numFmtId="0" fontId="3" fillId="0" borderId="0" xfId="0" applyFont="1" applyAlignment="1">
      <alignment indent="1"/>
    </xf>
    <xf numFmtId="0" fontId="4" fillId="0" borderId="10" xfId="0" applyFont="1" applyBorder="1"/>
    <xf numFmtId="175" fontId="4" fillId="0" borderId="10" xfId="0" applyNumberFormat="1" applyFont="1" applyBorder="1"/>
    <xf numFmtId="0" fontId="4" fillId="0" borderId="8" xfId="0" applyFont="1" applyBorder="1" applyAlignment="1">
      <alignment horizontal="right" wrapText="1"/>
    </xf>
    <xf numFmtId="167" fontId="2" fillId="0" borderId="0" xfId="0" applyNumberFormat="1" applyFont="1"/>
    <xf numFmtId="175" fontId="4" fillId="0" borderId="9" xfId="0" applyNumberFormat="1" applyFont="1" applyBorder="1"/>
    <xf numFmtId="176" fontId="8" fillId="0" borderId="0" xfId="0" applyNumberFormat="1" applyFont="1"/>
    <xf numFmtId="174" fontId="8" fillId="0" borderId="0" xfId="0" applyNumberFormat="1" applyFont="1"/>
    <xf numFmtId="172" fontId="4" fillId="0" borderId="9" xfId="0" applyNumberFormat="1" applyFont="1" applyBorder="1"/>
    <xf numFmtId="173" fontId="3" fillId="0" borderId="0" xfId="0" applyNumberFormat="1" applyFont="1"/>
    <xf numFmtId="167" fontId="8" fillId="0" borderId="0" xfId="0" applyNumberFormat="1" applyFont="1"/>
    <xf numFmtId="0" fontId="2" fillId="0" borderId="9" xfId="0" applyFont="1" applyBorder="1"/>
    <xf numFmtId="172" fontId="3" fillId="0" borderId="9" xfId="0" applyNumberFormat="1" applyFont="1" applyBorder="1"/>
    <xf numFmtId="173" fontId="3" fillId="0" borderId="9" xfId="0" applyNumberFormat="1" applyFont="1" applyBorder="1"/>
    <xf numFmtId="167" fontId="37" fillId="0" borderId="9" xfId="0" applyNumberFormat="1" applyFont="1" applyBorder="1"/>
    <xf numFmtId="172" fontId="3" fillId="0" borderId="0" xfId="0" applyNumberFormat="1" applyFont="1"/>
    <xf numFmtId="167" fontId="37" fillId="0" borderId="0" xfId="0" applyNumberFormat="1" applyFont="1"/>
    <xf numFmtId="0" fontId="37" fillId="0" borderId="9" xfId="0" applyFont="1" applyBorder="1"/>
    <xf numFmtId="0" fontId="37" fillId="0" borderId="0" xfId="0" applyFont="1"/>
    <xf numFmtId="173" fontId="37" fillId="0" borderId="9" xfId="0" applyNumberFormat="1" applyFont="1" applyBorder="1"/>
    <xf numFmtId="173" fontId="37" fillId="0" borderId="0" xfId="0" applyNumberFormat="1" applyFont="1"/>
    <xf numFmtId="0" fontId="4" fillId="0" borderId="0" xfId="0" applyFont="1" applyAlignment="1">
      <alignment horizontal="right"/>
    </xf>
    <xf numFmtId="172" fontId="4" fillId="0" borderId="0" xfId="0" applyNumberFormat="1" applyFont="1"/>
    <xf numFmtId="175" fontId="4" fillId="0" borderId="0" xfId="0" applyNumberFormat="1" applyFont="1"/>
    <xf numFmtId="0" fontId="2" fillId="0" borderId="8" xfId="0" applyFont="1" applyBorder="1"/>
    <xf numFmtId="0" fontId="3" fillId="0" borderId="0" xfId="0" applyFont="1" applyAlignment="1">
      <alignment horizontal="left"/>
    </xf>
    <xf numFmtId="177" fontId="8" fillId="0" borderId="0" xfId="0" applyNumberFormat="1" applyFont="1"/>
    <xf numFmtId="0" fontId="3" fillId="0" borderId="9" xfId="0" applyFont="1" applyBorder="1"/>
    <xf numFmtId="177" fontId="2" fillId="0" borderId="9" xfId="0" applyNumberFormat="1" applyFont="1" applyBorder="1"/>
    <xf numFmtId="37" fontId="4" fillId="0" borderId="9" xfId="0" applyNumberFormat="1" applyFont="1" applyBorder="1"/>
    <xf numFmtId="178" fontId="2" fillId="0" borderId="0" xfId="0" applyNumberFormat="1" applyFont="1"/>
    <xf numFmtId="168" fontId="19" fillId="0" borderId="0" xfId="0" applyNumberFormat="1" applyFont="1"/>
    <xf numFmtId="168" fontId="8" fillId="0" borderId="0" xfId="0" applyNumberFormat="1" applyFont="1"/>
    <xf numFmtId="0" fontId="38" fillId="0" borderId="11" xfId="0" applyFont="1" applyBorder="1"/>
    <xf numFmtId="164" fontId="39" fillId="0" borderId="11" xfId="0" applyNumberFormat="1" applyFont="1" applyBorder="1" applyAlignment="1">
      <alignment horizontal="right"/>
    </xf>
    <xf numFmtId="164" fontId="40" fillId="0" borderId="11" xfId="0" applyNumberFormat="1" applyFont="1" applyBorder="1" applyAlignment="1">
      <alignment horizontal="right"/>
    </xf>
    <xf numFmtId="179" fontId="40" fillId="0" borderId="11" xfId="0" applyNumberFormat="1" applyFont="1" applyBorder="1" applyAlignment="1">
      <alignment horizontal="right"/>
    </xf>
    <xf numFmtId="180" fontId="19" fillId="0" borderId="0" xfId="0" applyNumberFormat="1" applyFont="1"/>
    <xf numFmtId="177" fontId="41" fillId="0" borderId="0" xfId="0" applyNumberFormat="1" applyFont="1"/>
    <xf numFmtId="165" fontId="41" fillId="0" borderId="0" xfId="0" applyNumberFormat="1" applyFont="1"/>
    <xf numFmtId="181" fontId="8" fillId="0" borderId="0" xfId="0" applyNumberFormat="1" applyFont="1"/>
    <xf numFmtId="181" fontId="2" fillId="0" borderId="0" xfId="0" applyNumberFormat="1" applyFont="1"/>
    <xf numFmtId="167" fontId="41" fillId="0" borderId="0" xfId="0" applyNumberFormat="1" applyFont="1"/>
    <xf numFmtId="182" fontId="2" fillId="0" borderId="0" xfId="0" applyNumberFormat="1" applyFont="1"/>
    <xf numFmtId="0" fontId="0" fillId="0" borderId="11" xfId="0" applyBorder="1"/>
    <xf numFmtId="0" fontId="40" fillId="0" borderId="11" xfId="0" applyFont="1" applyBorder="1" applyAlignment="1">
      <alignment horizontal="right"/>
    </xf>
    <xf numFmtId="37" fontId="40" fillId="0" borderId="9" xfId="0" applyNumberFormat="1" applyFont="1" applyBorder="1"/>
    <xf numFmtId="173" fontId="41" fillId="0" borderId="0" xfId="0" applyNumberFormat="1" applyFont="1"/>
    <xf numFmtId="10" fontId="8" fillId="0" borderId="0" xfId="0" applyNumberFormat="1" applyFont="1"/>
    <xf numFmtId="0" fontId="4" fillId="0" borderId="11" xfId="0" applyFont="1" applyBorder="1"/>
    <xf numFmtId="174" fontId="19" fillId="0" borderId="0" xfId="0" applyNumberFormat="1" applyFont="1"/>
    <xf numFmtId="174" fontId="4" fillId="0" borderId="9" xfId="0" applyNumberFormat="1" applyFont="1" applyBorder="1"/>
    <xf numFmtId="174" fontId="2" fillId="0" borderId="9" xfId="0" applyNumberFormat="1" applyFont="1" applyBorder="1"/>
    <xf numFmtId="183" fontId="4" fillId="0" borderId="0" xfId="0" applyNumberFormat="1" applyFont="1"/>
    <xf numFmtId="183" fontId="2" fillId="0" borderId="0" xfId="0" applyNumberFormat="1" applyFont="1"/>
    <xf numFmtId="180" fontId="2" fillId="0" borderId="0" xfId="0" applyNumberFormat="1" applyFont="1"/>
    <xf numFmtId="175" fontId="50" fillId="0" borderId="0" xfId="0" applyNumberFormat="1" applyFont="1"/>
    <xf numFmtId="0" fontId="5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3" fillId="0" borderId="12" xfId="0" applyFont="1" applyBorder="1"/>
    <xf numFmtId="0" fontId="43" fillId="0" borderId="12" xfId="0" applyFont="1" applyBorder="1" applyAlignment="1">
      <alignment horizontal="right"/>
    </xf>
    <xf numFmtId="0" fontId="45" fillId="0" borderId="0" xfId="0" applyFont="1"/>
    <xf numFmtId="173" fontId="46" fillId="0" borderId="0" xfId="0" applyNumberFormat="1" applyFont="1"/>
    <xf numFmtId="172" fontId="46" fillId="0" borderId="0" xfId="0" applyNumberFormat="1" applyFont="1"/>
    <xf numFmtId="172" fontId="45" fillId="0" borderId="0" xfId="0" applyNumberFormat="1" applyFont="1"/>
    <xf numFmtId="0" fontId="45" fillId="0" borderId="0" xfId="0" applyFont="1" applyAlignment="1">
      <alignment horizontal="right"/>
    </xf>
    <xf numFmtId="0" fontId="43" fillId="0" borderId="13" xfId="0" applyFont="1" applyBorder="1"/>
    <xf numFmtId="0" fontId="0" fillId="0" borderId="13" xfId="0" applyBorder="1"/>
    <xf numFmtId="172" fontId="43" fillId="0" borderId="13" xfId="0" applyNumberFormat="1" applyFont="1" applyBorder="1"/>
    <xf numFmtId="0" fontId="44" fillId="0" borderId="0" xfId="0" applyFont="1" applyAlignment="1">
      <alignment indent="1"/>
    </xf>
    <xf numFmtId="172" fontId="47" fillId="0" borderId="0" xfId="0" applyNumberFormat="1" applyFont="1"/>
    <xf numFmtId="172" fontId="44" fillId="0" borderId="0" xfId="0" applyNumberFormat="1" applyFont="1"/>
    <xf numFmtId="0" fontId="0" fillId="0" borderId="12" xfId="0" applyBorder="1"/>
    <xf numFmtId="172" fontId="48" fillId="0" borderId="0" xfId="0" applyNumberFormat="1" applyFont="1"/>
    <xf numFmtId="172" fontId="49" fillId="0" borderId="13" xfId="0" applyNumberFormat="1" applyFont="1" applyBorder="1"/>
    <xf numFmtId="0" fontId="43" fillId="0" borderId="14" xfId="0" applyFont="1" applyBorder="1"/>
    <xf numFmtId="0" fontId="0" fillId="0" borderId="14" xfId="0" applyBorder="1"/>
    <xf numFmtId="172" fontId="49" fillId="0" borderId="14" xfId="0" applyNumberFormat="1" applyFont="1" applyBorder="1"/>
    <xf numFmtId="0" fontId="4" fillId="0" borderId="12" xfId="0" applyFont="1" applyBorder="1"/>
    <xf numFmtId="173" fontId="11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83" fontId="2" fillId="0" borderId="0" xfId="0" applyNumberFormat="1" applyFont="1" applyAlignment="1">
      <alignment horizontal="center"/>
    </xf>
    <xf numFmtId="177" fontId="11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177" fontId="52" fillId="0" borderId="0" xfId="0" applyNumberFormat="1" applyFont="1"/>
    <xf numFmtId="0" fontId="36" fillId="0" borderId="15" xfId="0" applyFont="1" applyBorder="1"/>
    <xf numFmtId="0" fontId="36" fillId="0" borderId="15" xfId="0" applyFont="1" applyBorder="1" applyAlignment="1">
      <alignment horizontal="right"/>
    </xf>
    <xf numFmtId="0" fontId="35" fillId="0" borderId="0" xfId="0" applyFont="1" applyAlignment="1">
      <alignment horizontal="right"/>
    </xf>
    <xf numFmtId="184" fontId="8" fillId="0" borderId="0" xfId="0" applyNumberFormat="1" applyFont="1" applyAlignment="1">
      <alignment horizontal="right"/>
    </xf>
    <xf numFmtId="178" fontId="8" fillId="0" borderId="0" xfId="0" applyNumberFormat="1" applyFont="1"/>
    <xf numFmtId="183" fontId="8" fillId="0" borderId="0" xfId="0" applyNumberFormat="1" applyFont="1"/>
    <xf numFmtId="0" fontId="36" fillId="0" borderId="16" xfId="0" applyFont="1" applyBorder="1"/>
    <xf numFmtId="172" fontId="36" fillId="0" borderId="16" xfId="0" applyNumberFormat="1" applyFont="1" applyBorder="1"/>
    <xf numFmtId="172" fontId="35" fillId="0" borderId="0" xfId="0" applyNumberFormat="1" applyFont="1"/>
    <xf numFmtId="172" fontId="36" fillId="0" borderId="0" xfId="0" applyNumberFormat="1" applyFont="1"/>
    <xf numFmtId="185" fontId="8" fillId="0" borderId="0" xfId="0" applyNumberFormat="1" applyFont="1"/>
    <xf numFmtId="186" fontId="19" fillId="0" borderId="0" xfId="0" applyNumberFormat="1" applyFont="1"/>
    <xf numFmtId="185" fontId="36" fillId="0" borderId="16" xfId="0" applyNumberFormat="1" applyFont="1" applyBorder="1"/>
    <xf numFmtId="177" fontId="36" fillId="0" borderId="0" xfId="0" applyNumberFormat="1" applyFont="1"/>
    <xf numFmtId="177" fontId="35" fillId="0" borderId="0" xfId="0" applyNumberFormat="1" applyFont="1"/>
    <xf numFmtId="171" fontId="2" fillId="0" borderId="0" xfId="0" applyNumberFormat="1" applyFont="1"/>
    <xf numFmtId="0" fontId="2" fillId="0" borderId="15" xfId="0" applyFont="1" applyBorder="1"/>
    <xf numFmtId="0" fontId="2" fillId="0" borderId="16" xfId="0" applyFont="1" applyBorder="1"/>
    <xf numFmtId="171" fontId="8" fillId="0" borderId="0" xfId="0" applyNumberFormat="1" applyFont="1"/>
    <xf numFmtId="0" fontId="4" fillId="0" borderId="16" xfId="0" applyFont="1" applyBorder="1"/>
    <xf numFmtId="171" fontId="4" fillId="0" borderId="16" xfId="0" applyNumberFormat="1" applyFont="1" applyBorder="1"/>
    <xf numFmtId="187" fontId="4" fillId="0" borderId="16" xfId="0" applyNumberFormat="1" applyFont="1" applyBorder="1"/>
    <xf numFmtId="187" fontId="8" fillId="0" borderId="0" xfId="0" applyNumberFormat="1" applyFont="1"/>
    <xf numFmtId="0" fontId="4" fillId="0" borderId="15" xfId="0" applyFont="1" applyBorder="1"/>
    <xf numFmtId="0" fontId="2" fillId="0" borderId="15" xfId="0" applyFont="1" applyBorder="1" applyAlignment="1">
      <alignment horizontal="right"/>
    </xf>
    <xf numFmtId="177" fontId="2" fillId="0" borderId="0" xfId="0" applyNumberFormat="1" applyFont="1"/>
    <xf numFmtId="166" fontId="4" fillId="0" borderId="0" xfId="0" applyNumberFormat="1" applyFont="1"/>
    <xf numFmtId="177" fontId="2" fillId="0" borderId="15" xfId="0" applyNumberFormat="1" applyFont="1" applyBorder="1"/>
    <xf numFmtId="0" fontId="0" fillId="0" borderId="0" xfId="0" applyAlignment="1">
      <alignment vertical="center" wrapText="1"/>
    </xf>
    <xf numFmtId="0" fontId="12" fillId="0" borderId="15" xfId="0" applyFont="1" applyBorder="1"/>
    <xf numFmtId="0" fontId="12" fillId="0" borderId="0" xfId="0" applyFont="1"/>
    <xf numFmtId="0" fontId="0" fillId="0" borderId="0" xfId="0"/>
    <xf numFmtId="0" fontId="40" fillId="0" borderId="12" xfId="0" applyFont="1" applyBorder="1" applyAlignment="1">
      <alignment horizontal="center"/>
    </xf>
    <xf numFmtId="0" fontId="0" fillId="0" borderId="12" xfId="0" applyBorder="1"/>
    <xf numFmtId="0" fontId="0" fillId="0" borderId="15" xfId="0" applyBorder="1" applyAlignment="1">
      <alignment horizontal="right"/>
    </xf>
    <xf numFmtId="166" fontId="56" fillId="0" borderId="0" xfId="0" applyNumberFormat="1" applyFont="1"/>
    <xf numFmtId="166" fontId="55" fillId="0" borderId="0" xfId="0" applyNumberFormat="1" applyFont="1"/>
    <xf numFmtId="166" fontId="0" fillId="0" borderId="0" xfId="0" applyNumberFormat="1" applyFont="1"/>
    <xf numFmtId="0" fontId="0" fillId="0" borderId="0" xfId="0" applyFill="1" applyBorder="1" applyAlignment="1">
      <alignment horizontal="right"/>
    </xf>
    <xf numFmtId="166" fontId="0" fillId="0" borderId="0" xfId="0" applyNumberFormat="1"/>
    <xf numFmtId="0" fontId="56" fillId="0" borderId="0" xfId="0" applyFont="1"/>
  </cellXfs>
  <cellStyles count="2">
    <cellStyle name="Hyperlink" xfId="1" builtinId="8"/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0000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KO Valuation Summary ($ per share)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329116224299041"/>
          <c:y val="7.48949355151865E-2"/>
          <c:w val="0.82759634059959919"/>
          <c:h val="0.82758313039957265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numFmt formatCode="[$$-409]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Field'!$B$6:$B$11</c:f>
              <c:strCache>
                <c:ptCount val="6"/>
                <c:pt idx="0">
                  <c:v>52-week trading range</c:v>
                </c:pt>
                <c:pt idx="1">
                  <c:v>Analyst price targets</c:v>
                </c:pt>
                <c:pt idx="2">
                  <c:v>Trading comps - EV / LTM EBITDA</c:v>
                </c:pt>
                <c:pt idx="3">
                  <c:v>Trading comps - NTM P/E</c:v>
                </c:pt>
                <c:pt idx="4">
                  <c:v>DCF - Perpetuity growth</c:v>
                </c:pt>
                <c:pt idx="5">
                  <c:v>DCF - Exit multiple</c:v>
                </c:pt>
              </c:strCache>
            </c:strRef>
          </c:cat>
          <c:val>
            <c:numRef>
              <c:f>'Football Field'!$D$6:$D$11</c:f>
              <c:numCache>
                <c:formatCode>\$0.00_);\(\$0.00\)</c:formatCode>
                <c:ptCount val="6"/>
                <c:pt idx="0">
                  <c:v>65.84</c:v>
                </c:pt>
                <c:pt idx="1">
                  <c:v>75</c:v>
                </c:pt>
                <c:pt idx="2">
                  <c:v>54.406775289525434</c:v>
                </c:pt>
                <c:pt idx="3">
                  <c:v>62.361863013698624</c:v>
                </c:pt>
                <c:pt idx="4">
                  <c:v>58.602279124705731</c:v>
                </c:pt>
                <c:pt idx="5">
                  <c:v>69.626052036871911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8-4259-B5EB-F53C8BBA3C9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EA8-4259-B5EB-F53C8BBA3C93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A8-4259-B5EB-F53C8BBA3C9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A8-4259-B5EB-F53C8BBA3C9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A8-4259-B5EB-F53C8BBA3C9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C15B7F3-1ED8-445F-83D5-A67DD0E1F5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EA8-4259-B5EB-F53C8BBA3C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0E98C29-B1EE-41E5-B3C8-55E85CB9EA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EA8-4259-B5EB-F53C8BBA3C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4710A9C-7736-4C31-95F0-3AE699488A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EA8-4259-B5EB-F53C8BBA3C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0F888C-A96B-4C94-9A4C-2459297DCA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EA8-4259-B5EB-F53C8BBA3C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63A060C-E966-4576-AE39-BB76367B1A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EA8-4259-B5EB-F53C8BBA3C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9F5AB7F-DF98-42F3-997C-69EB47CB46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EA8-4259-B5EB-F53C8BBA3C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Field'!$B$6:$B$11</c:f>
              <c:strCache>
                <c:ptCount val="6"/>
                <c:pt idx="0">
                  <c:v>52-week trading range</c:v>
                </c:pt>
                <c:pt idx="1">
                  <c:v>Analyst price targets</c:v>
                </c:pt>
                <c:pt idx="2">
                  <c:v>Trading comps - EV / LTM EBITDA</c:v>
                </c:pt>
                <c:pt idx="3">
                  <c:v>Trading comps - NTM P/E</c:v>
                </c:pt>
                <c:pt idx="4">
                  <c:v>DCF - Perpetuity growth</c:v>
                </c:pt>
                <c:pt idx="5">
                  <c:v>DCF - Exit multiple</c:v>
                </c:pt>
              </c:strCache>
            </c:strRef>
          </c:cat>
          <c:val>
            <c:numRef>
              <c:f>'Football Field'!$F$6:$F$11</c:f>
              <c:numCache>
                <c:formatCode>\$0.00_);\(\$0.00\)</c:formatCode>
                <c:ptCount val="6"/>
                <c:pt idx="0">
                  <c:v>26.649999999999991</c:v>
                </c:pt>
                <c:pt idx="1">
                  <c:v>29</c:v>
                </c:pt>
                <c:pt idx="2">
                  <c:v>15.391830139558273</c:v>
                </c:pt>
                <c:pt idx="3">
                  <c:v>17.322739726027393</c:v>
                </c:pt>
                <c:pt idx="4">
                  <c:v>27.089667011943234</c:v>
                </c:pt>
                <c:pt idx="5">
                  <c:v>9.0745335325076582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'Football Field'!$E$6:$E$11</c15:f>
                <c15:dlblRangeCache>
                  <c:ptCount val="6"/>
                  <c:pt idx="0">
                    <c:v>$92.49 </c:v>
                  </c:pt>
                  <c:pt idx="1">
                    <c:v>$104.00 </c:v>
                  </c:pt>
                  <c:pt idx="2">
                    <c:v>$69.80 </c:v>
                  </c:pt>
                  <c:pt idx="3">
                    <c:v>$79.68 </c:v>
                  </c:pt>
                  <c:pt idx="4">
                    <c:v>$85.69 </c:v>
                  </c:pt>
                  <c:pt idx="5">
                    <c:v>$78.70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EA8-4259-B5EB-F53C8BBA3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99479935"/>
        <c:axId val="327903119"/>
      </c:barChart>
      <c:scatterChart>
        <c:scatterStyle val="lineMarker"/>
        <c:varyColors val="0"/>
        <c:ser>
          <c:idx val="2"/>
          <c:order val="2"/>
          <c:tx>
            <c:strRef>
              <c:f>'Football Field'!$B$13</c:f>
              <c:strCache>
                <c:ptCount val="1"/>
                <c:pt idx="0">
                  <c:v>Current share price (9/30/26)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EA8-4259-B5EB-F53C8BBA3C93}"/>
                </c:ext>
              </c:extLst>
            </c:dLbl>
            <c:dLbl>
              <c:idx val="1"/>
              <c:numFmt formatCode="[$$-409]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EA8-4259-B5EB-F53C8BBA3C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'Football Field'!$H$6:$H$7</c:f>
              <c:numCache>
                <c:formatCode>\$0.00_);\(\$0.00\)</c:formatCode>
                <c:ptCount val="2"/>
                <c:pt idx="0">
                  <c:v>86.08</c:v>
                </c:pt>
                <c:pt idx="1">
                  <c:v>86.08</c:v>
                </c:pt>
              </c:numCache>
            </c:numRef>
          </c:xVal>
          <c:yVal>
            <c:numRef>
              <c:f>'Football Field'!$I$6:$I$7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EA8-4259-B5EB-F53C8BBA3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881999"/>
        <c:axId val="327869039"/>
      </c:scatterChart>
      <c:catAx>
        <c:axId val="19947993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03119"/>
        <c:crosses val="autoZero"/>
        <c:auto val="1"/>
        <c:lblAlgn val="ctr"/>
        <c:lblOffset val="100"/>
        <c:noMultiLvlLbl val="0"/>
      </c:catAx>
      <c:valAx>
        <c:axId val="327903119"/>
        <c:scaling>
          <c:orientation val="minMax"/>
          <c:max val="11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79935"/>
        <c:crosses val="max"/>
        <c:crossBetween val="between"/>
        <c:majorUnit val="10"/>
      </c:valAx>
      <c:valAx>
        <c:axId val="327869039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81999"/>
        <c:crosses val="max"/>
        <c:crossBetween val="midCat"/>
      </c:valAx>
      <c:valAx>
        <c:axId val="327881999"/>
        <c:scaling>
          <c:orientation val="minMax"/>
        </c:scaling>
        <c:delete val="1"/>
        <c:axPos val="t"/>
        <c:numFmt formatCode="\$0.00_);\(\$0.00\)" sourceLinked="1"/>
        <c:majorTickMark val="out"/>
        <c:minorTickMark val="none"/>
        <c:tickLblPos val="nextTo"/>
        <c:crossAx val="327869039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166688</xdr:colOff>
      <xdr:row>14</xdr:row>
      <xdr:rowOff>206374</xdr:rowOff>
    </xdr:from>
    <xdr:to>
      <xdr:col>5</xdr:col>
      <xdr:colOff>2278062</xdr:colOff>
      <xdr:row>44</xdr:row>
      <xdr:rowOff>134937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3706BD-41BF-6D0A-D74D-3757EAF3F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4"/>
  <sheetViews>
    <sheetView topLeftCell="A59" workbookViewId="0">
      <selection activeCell="A78" sqref="A78:D114"/>
    </sheetView>
  </sheetViews>
  <sheetFormatPr defaultColWidth="10.6640625" defaultRowHeight="16"/>
  <cols>
    <col min="1" max="1" width="94.33203125" bestFit="1" customWidth="1"/>
    <col min="2" max="2" width="15" bestFit="1" customWidth="1"/>
    <col min="3" max="4" width="12.1640625" bestFit="1" customWidth="1"/>
  </cols>
  <sheetData>
    <row r="1" spans="1:4">
      <c r="A1" s="1" t="s">
        <v>58</v>
      </c>
      <c r="B1" s="1"/>
      <c r="C1" s="1"/>
      <c r="D1" s="1"/>
    </row>
    <row r="2" spans="1:4">
      <c r="A2" s="1" t="s">
        <v>59</v>
      </c>
      <c r="B2" s="1"/>
      <c r="C2" s="1"/>
      <c r="D2" s="1"/>
    </row>
    <row r="3" spans="1:4">
      <c r="A3" s="1" t="s">
        <v>60</v>
      </c>
      <c r="B3" s="1"/>
      <c r="C3" s="1"/>
      <c r="D3" s="1"/>
    </row>
    <row r="4" spans="1:4">
      <c r="A4" s="1" t="s">
        <v>61</v>
      </c>
      <c r="B4" s="1"/>
      <c r="C4" s="1"/>
      <c r="D4" s="1"/>
    </row>
    <row r="5" spans="1:4">
      <c r="A5" s="2" t="s">
        <v>62</v>
      </c>
      <c r="B5" s="1"/>
      <c r="C5" s="1"/>
      <c r="D5" s="1"/>
    </row>
    <row r="6" spans="1:4">
      <c r="A6" s="1" t="s">
        <v>63</v>
      </c>
      <c r="B6" s="1"/>
      <c r="C6" s="1"/>
      <c r="D6" s="1"/>
    </row>
    <row r="7" spans="1:4">
      <c r="A7" s="1" t="s">
        <v>64</v>
      </c>
      <c r="B7" s="1" t="s">
        <v>64</v>
      </c>
      <c r="C7" s="1" t="s">
        <v>63</v>
      </c>
      <c r="D7" s="1" t="s">
        <v>62</v>
      </c>
    </row>
    <row r="8" spans="1:4">
      <c r="A8" s="1" t="s">
        <v>65</v>
      </c>
      <c r="B8" s="1">
        <v>45754</v>
      </c>
      <c r="C8" s="1">
        <v>47061</v>
      </c>
      <c r="D8" s="1">
        <v>47941</v>
      </c>
    </row>
    <row r="9" spans="1:4">
      <c r="A9" s="1" t="s">
        <v>66</v>
      </c>
      <c r="B9" s="1">
        <v>18520</v>
      </c>
      <c r="C9" s="1">
        <v>18324</v>
      </c>
      <c r="D9" s="1">
        <v>18397</v>
      </c>
    </row>
    <row r="10" spans="1:4">
      <c r="A10" s="1" t="s">
        <v>67</v>
      </c>
      <c r="B10" s="1">
        <v>27234</v>
      </c>
      <c r="C10" s="1">
        <v>28737</v>
      </c>
      <c r="D10" s="1">
        <v>29544</v>
      </c>
    </row>
    <row r="11" spans="1:4">
      <c r="A11" s="1" t="s">
        <v>68</v>
      </c>
      <c r="B11" s="1">
        <v>13972</v>
      </c>
      <c r="C11" s="1">
        <v>14582</v>
      </c>
      <c r="D11" s="1">
        <v>14521</v>
      </c>
    </row>
    <row r="12" spans="1:4">
      <c r="A12" s="1" t="s">
        <v>69</v>
      </c>
      <c r="B12" s="1">
        <v>1951</v>
      </c>
      <c r="C12" s="1">
        <v>4163</v>
      </c>
      <c r="D12" s="1">
        <v>1261</v>
      </c>
    </row>
    <row r="13" spans="1:4">
      <c r="A13" s="1" t="s">
        <v>70</v>
      </c>
      <c r="B13" s="1">
        <v>11311</v>
      </c>
      <c r="C13" s="1">
        <v>9992</v>
      </c>
      <c r="D13" s="1">
        <v>13762</v>
      </c>
    </row>
    <row r="14" spans="1:4">
      <c r="A14" s="1" t="s">
        <v>71</v>
      </c>
      <c r="B14" s="1">
        <v>907</v>
      </c>
      <c r="C14" s="1">
        <v>988</v>
      </c>
      <c r="D14" s="1">
        <v>786</v>
      </c>
    </row>
    <row r="15" spans="1:4">
      <c r="A15" s="1" t="s">
        <v>72</v>
      </c>
      <c r="B15" s="1">
        <v>1527</v>
      </c>
      <c r="C15" s="1">
        <v>1656</v>
      </c>
      <c r="D15" s="1">
        <v>1654</v>
      </c>
    </row>
    <row r="16" spans="1:4">
      <c r="A16" s="1" t="s">
        <v>73</v>
      </c>
      <c r="B16" s="1">
        <v>1691</v>
      </c>
      <c r="C16" s="1">
        <v>1770</v>
      </c>
      <c r="D16" s="1">
        <v>2031</v>
      </c>
    </row>
    <row r="17" spans="1:4">
      <c r="A17" s="1" t="s">
        <v>74</v>
      </c>
      <c r="B17" s="1">
        <v>570</v>
      </c>
      <c r="C17" s="1">
        <v>1992</v>
      </c>
      <c r="D17" s="1">
        <v>1073</v>
      </c>
    </row>
    <row r="18" spans="1:4">
      <c r="A18" s="1" t="s">
        <v>75</v>
      </c>
      <c r="B18" s="1">
        <v>12952</v>
      </c>
      <c r="C18" s="1">
        <v>13086</v>
      </c>
      <c r="D18" s="1">
        <v>15998</v>
      </c>
    </row>
    <row r="19" spans="1:4">
      <c r="A19" s="1" t="s">
        <v>76</v>
      </c>
      <c r="B19" s="1">
        <v>2249</v>
      </c>
      <c r="C19" s="1">
        <v>2437</v>
      </c>
      <c r="D19" s="1">
        <v>2861</v>
      </c>
    </row>
    <row r="20" spans="1:4">
      <c r="A20" s="1" t="s">
        <v>77</v>
      </c>
      <c r="B20" s="1">
        <v>10703</v>
      </c>
      <c r="C20" s="1">
        <v>10649</v>
      </c>
      <c r="D20" s="1">
        <v>13137</v>
      </c>
    </row>
    <row r="21" spans="1:4">
      <c r="A21" s="1" t="s">
        <v>78</v>
      </c>
      <c r="B21" s="1">
        <v>-11</v>
      </c>
      <c r="C21" s="1">
        <v>18</v>
      </c>
      <c r="D21" s="1">
        <v>30</v>
      </c>
    </row>
    <row r="22" spans="1:4">
      <c r="A22" s="1" t="s">
        <v>79</v>
      </c>
      <c r="B22" s="1">
        <v>10714</v>
      </c>
      <c r="C22" s="1">
        <v>10631</v>
      </c>
      <c r="D22" s="1">
        <v>13107</v>
      </c>
    </row>
    <row r="23" spans="1:4">
      <c r="A23" s="1" t="s">
        <v>80</v>
      </c>
      <c r="B23" s="1">
        <v>2.48</v>
      </c>
      <c r="C23" s="1">
        <v>2.4700000000000002</v>
      </c>
      <c r="D23" s="1">
        <v>3.05</v>
      </c>
    </row>
    <row r="24" spans="1:4">
      <c r="A24" s="1" t="s">
        <v>81</v>
      </c>
      <c r="B24" s="1">
        <v>2.4700000000000002</v>
      </c>
      <c r="C24" s="1">
        <v>2.46</v>
      </c>
      <c r="D24" s="1">
        <v>3.04</v>
      </c>
    </row>
    <row r="25" spans="1:4">
      <c r="A25" s="1" t="s">
        <v>82</v>
      </c>
      <c r="B25" s="1">
        <v>4323</v>
      </c>
      <c r="C25" s="1">
        <v>4309</v>
      </c>
      <c r="D25" s="1">
        <v>4303</v>
      </c>
    </row>
    <row r="26" spans="1:4">
      <c r="A26" s="1" t="s">
        <v>83</v>
      </c>
      <c r="B26" s="1">
        <v>16</v>
      </c>
      <c r="C26" s="1">
        <v>11</v>
      </c>
      <c r="D26" s="1">
        <v>10</v>
      </c>
    </row>
    <row r="27" spans="1:4">
      <c r="A27" s="1" t="s">
        <v>84</v>
      </c>
      <c r="B27" s="1">
        <v>4339</v>
      </c>
      <c r="C27" s="1">
        <v>4320</v>
      </c>
      <c r="D27" s="1">
        <v>4313</v>
      </c>
    </row>
    <row r="31" spans="1:4" ht="18" customHeight="1">
      <c r="A31" s="25" t="s">
        <v>85</v>
      </c>
    </row>
    <row r="32" spans="1:4">
      <c r="A32" s="26" t="s">
        <v>86</v>
      </c>
      <c r="B32" s="228" t="s">
        <v>61</v>
      </c>
    </row>
    <row r="33" spans="1:4">
      <c r="A33" s="26" t="s">
        <v>87</v>
      </c>
      <c r="B33" s="229"/>
    </row>
    <row r="34" spans="1:4">
      <c r="B34" s="26" t="s">
        <v>64</v>
      </c>
      <c r="C34" s="26" t="s">
        <v>63</v>
      </c>
      <c r="D34" s="26" t="s">
        <v>62</v>
      </c>
    </row>
    <row r="35" spans="1:4">
      <c r="A35" s="27" t="s">
        <v>88</v>
      </c>
    </row>
    <row r="36" spans="1:4">
      <c r="A36" s="27" t="s">
        <v>77</v>
      </c>
      <c r="B36">
        <v>10703</v>
      </c>
      <c r="C36">
        <v>10649</v>
      </c>
      <c r="D36">
        <v>13137</v>
      </c>
    </row>
    <row r="37" spans="1:4">
      <c r="A37" s="27" t="s">
        <v>89</v>
      </c>
      <c r="B37">
        <v>1128</v>
      </c>
      <c r="C37">
        <v>1075</v>
      </c>
      <c r="D37">
        <v>1050</v>
      </c>
    </row>
    <row r="38" spans="1:4">
      <c r="A38" s="27" t="s">
        <v>90</v>
      </c>
      <c r="B38">
        <v>254</v>
      </c>
      <c r="C38">
        <v>286</v>
      </c>
      <c r="D38">
        <v>279</v>
      </c>
    </row>
    <row r="39" spans="1:4">
      <c r="A39" s="27" t="s">
        <v>91</v>
      </c>
      <c r="B39">
        <v>-2</v>
      </c>
      <c r="C39">
        <v>-11</v>
      </c>
      <c r="D39">
        <v>517</v>
      </c>
    </row>
    <row r="40" spans="1:4">
      <c r="A40" s="27" t="s">
        <v>92</v>
      </c>
      <c r="B40">
        <v>-1019</v>
      </c>
      <c r="C40">
        <v>-802</v>
      </c>
      <c r="D40">
        <v>-1038</v>
      </c>
    </row>
    <row r="41" spans="1:4">
      <c r="A41" s="27" t="s">
        <v>93</v>
      </c>
      <c r="B41">
        <v>175</v>
      </c>
      <c r="C41">
        <v>-110</v>
      </c>
      <c r="D41">
        <v>191</v>
      </c>
    </row>
    <row r="42" spans="1:4">
      <c r="A42" s="27" t="s">
        <v>94</v>
      </c>
      <c r="B42">
        <v>-492</v>
      </c>
      <c r="C42">
        <v>-1737</v>
      </c>
      <c r="D42">
        <v>-713</v>
      </c>
    </row>
    <row r="43" spans="1:4">
      <c r="A43" s="27" t="s">
        <v>69</v>
      </c>
      <c r="B43">
        <v>1741</v>
      </c>
      <c r="C43">
        <v>4000</v>
      </c>
      <c r="D43">
        <v>1052</v>
      </c>
    </row>
    <row r="44" spans="1:4">
      <c r="A44" s="27" t="s">
        <v>95</v>
      </c>
      <c r="B44">
        <v>-43</v>
      </c>
      <c r="C44">
        <v>-311</v>
      </c>
      <c r="D44">
        <v>141</v>
      </c>
    </row>
    <row r="45" spans="1:4">
      <c r="A45" s="27" t="s">
        <v>96</v>
      </c>
      <c r="B45">
        <v>-846</v>
      </c>
      <c r="C45">
        <v>-6234</v>
      </c>
      <c r="D45">
        <v>-7208</v>
      </c>
    </row>
    <row r="46" spans="1:4">
      <c r="A46" s="27" t="s">
        <v>97</v>
      </c>
      <c r="B46">
        <v>11599</v>
      </c>
      <c r="C46">
        <v>6805</v>
      </c>
      <c r="D46">
        <v>7408</v>
      </c>
    </row>
    <row r="47" spans="1:4">
      <c r="A47" s="27" t="s">
        <v>98</v>
      </c>
    </row>
    <row r="48" spans="1:4">
      <c r="A48" s="27" t="s">
        <v>99</v>
      </c>
      <c r="B48">
        <v>-6698</v>
      </c>
      <c r="C48">
        <v>-5640</v>
      </c>
      <c r="D48">
        <v>-6160</v>
      </c>
    </row>
    <row r="49" spans="1:4">
      <c r="A49" s="27" t="s">
        <v>100</v>
      </c>
      <c r="B49">
        <v>4354</v>
      </c>
      <c r="C49">
        <v>6589</v>
      </c>
      <c r="D49">
        <v>4665</v>
      </c>
    </row>
    <row r="50" spans="1:4">
      <c r="A50" s="27" t="s">
        <v>101</v>
      </c>
      <c r="B50">
        <v>-62</v>
      </c>
      <c r="C50">
        <v>-315</v>
      </c>
      <c r="D50">
        <v>-461</v>
      </c>
    </row>
    <row r="51" spans="1:4">
      <c r="A51" s="27" t="s">
        <v>102</v>
      </c>
      <c r="B51">
        <v>430</v>
      </c>
      <c r="C51">
        <v>3485</v>
      </c>
      <c r="D51">
        <v>3567</v>
      </c>
    </row>
    <row r="52" spans="1:4">
      <c r="A52" s="27" t="s">
        <v>103</v>
      </c>
      <c r="B52">
        <v>-1852</v>
      </c>
      <c r="C52">
        <v>-2064</v>
      </c>
      <c r="D52">
        <v>-2112</v>
      </c>
    </row>
    <row r="53" spans="1:4">
      <c r="A53" s="27" t="s">
        <v>104</v>
      </c>
      <c r="B53">
        <v>74</v>
      </c>
      <c r="C53">
        <v>40</v>
      </c>
      <c r="D53">
        <v>13</v>
      </c>
    </row>
    <row r="54" spans="1:4">
      <c r="A54" s="27" t="s">
        <v>105</v>
      </c>
      <c r="B54">
        <v>366</v>
      </c>
      <c r="C54">
        <v>235</v>
      </c>
      <c r="D54">
        <v>330</v>
      </c>
    </row>
    <row r="55" spans="1:4">
      <c r="A55" s="27" t="s">
        <v>106</v>
      </c>
      <c r="B55">
        <v>39</v>
      </c>
      <c r="C55">
        <v>194</v>
      </c>
      <c r="D55">
        <v>91</v>
      </c>
    </row>
    <row r="56" spans="1:4">
      <c r="A56" s="27" t="s">
        <v>107</v>
      </c>
      <c r="B56">
        <v>-3349</v>
      </c>
      <c r="C56">
        <v>2524</v>
      </c>
      <c r="D56">
        <v>-67</v>
      </c>
    </row>
    <row r="57" spans="1:4">
      <c r="A57" s="27" t="s">
        <v>108</v>
      </c>
    </row>
    <row r="58" spans="1:4">
      <c r="A58" s="27" t="s">
        <v>109</v>
      </c>
      <c r="B58">
        <v>6891</v>
      </c>
      <c r="C58">
        <v>12061</v>
      </c>
      <c r="D58">
        <v>4980</v>
      </c>
    </row>
    <row r="59" spans="1:4">
      <c r="A59" s="27" t="s">
        <v>110</v>
      </c>
      <c r="B59">
        <v>-5034</v>
      </c>
      <c r="C59">
        <v>-9533</v>
      </c>
      <c r="D59">
        <v>-4967</v>
      </c>
    </row>
    <row r="60" spans="1:4">
      <c r="A60" s="27" t="s">
        <v>111</v>
      </c>
      <c r="B60">
        <v>539</v>
      </c>
      <c r="C60">
        <v>747</v>
      </c>
      <c r="D60">
        <v>313</v>
      </c>
    </row>
    <row r="61" spans="1:4">
      <c r="A61" s="27" t="s">
        <v>112</v>
      </c>
      <c r="B61">
        <v>-2289</v>
      </c>
      <c r="C61">
        <v>-1795</v>
      </c>
      <c r="D61">
        <v>-746</v>
      </c>
    </row>
    <row r="62" spans="1:4">
      <c r="A62" s="27" t="s">
        <v>113</v>
      </c>
      <c r="B62">
        <v>-7952</v>
      </c>
      <c r="C62">
        <v>-8359</v>
      </c>
      <c r="D62">
        <v>-8779</v>
      </c>
    </row>
    <row r="63" spans="1:4">
      <c r="A63" s="27" t="s">
        <v>114</v>
      </c>
      <c r="B63">
        <v>0</v>
      </c>
      <c r="C63">
        <v>0</v>
      </c>
      <c r="D63">
        <v>1338</v>
      </c>
    </row>
    <row r="64" spans="1:4">
      <c r="A64" s="27" t="s">
        <v>115</v>
      </c>
      <c r="B64">
        <v>-465</v>
      </c>
      <c r="C64">
        <v>-31</v>
      </c>
      <c r="D64">
        <v>-279</v>
      </c>
    </row>
    <row r="65" spans="1:11">
      <c r="A65" s="27" t="s">
        <v>116</v>
      </c>
      <c r="B65">
        <v>-8310</v>
      </c>
      <c r="C65">
        <v>-6910</v>
      </c>
      <c r="D65">
        <v>-8140</v>
      </c>
    </row>
    <row r="66" spans="1:11">
      <c r="A66" s="27" t="s">
        <v>117</v>
      </c>
    </row>
    <row r="67" spans="1:11">
      <c r="A67" s="27" t="s">
        <v>118</v>
      </c>
      <c r="B67">
        <v>-73</v>
      </c>
      <c r="C67">
        <v>-623</v>
      </c>
      <c r="D67">
        <v>321</v>
      </c>
    </row>
    <row r="68" spans="1:11">
      <c r="A68" s="27" t="s">
        <v>119</v>
      </c>
      <c r="B68">
        <v>-133</v>
      </c>
      <c r="C68">
        <v>1796</v>
      </c>
      <c r="D68">
        <v>-478</v>
      </c>
    </row>
    <row r="69" spans="1:11">
      <c r="A69" s="27" t="s">
        <v>120</v>
      </c>
      <c r="B69">
        <v>9825</v>
      </c>
      <c r="C69">
        <v>9692</v>
      </c>
      <c r="D69">
        <v>11488</v>
      </c>
    </row>
    <row r="70" spans="1:11">
      <c r="A70" s="27" t="s">
        <v>121</v>
      </c>
      <c r="B70">
        <v>9692</v>
      </c>
      <c r="C70">
        <v>11488</v>
      </c>
      <c r="D70">
        <v>11010</v>
      </c>
    </row>
    <row r="71" spans="1:11">
      <c r="A71" s="27" t="s">
        <v>122</v>
      </c>
      <c r="B71">
        <v>326</v>
      </c>
      <c r="C71">
        <v>660</v>
      </c>
      <c r="D71">
        <v>740</v>
      </c>
    </row>
    <row r="72" spans="1:11">
      <c r="A72" s="27" t="s">
        <v>123</v>
      </c>
      <c r="B72">
        <v>9366</v>
      </c>
      <c r="C72">
        <v>10828</v>
      </c>
      <c r="D72">
        <v>10270</v>
      </c>
    </row>
    <row r="75" spans="1:11" ht="18" customHeight="1">
      <c r="A75" s="25" t="s">
        <v>124</v>
      </c>
    </row>
    <row r="76" spans="1:11">
      <c r="A76" s="26" t="s">
        <v>125</v>
      </c>
      <c r="C76" s="26"/>
    </row>
    <row r="77" spans="1:11">
      <c r="A77" s="26" t="s">
        <v>126</v>
      </c>
      <c r="B77" s="26" t="s">
        <v>64</v>
      </c>
      <c r="C77" s="26" t="s">
        <v>63</v>
      </c>
      <c r="D77" s="26" t="s">
        <v>62</v>
      </c>
      <c r="J77" s="46"/>
      <c r="K77" s="46"/>
    </row>
    <row r="78" spans="1:11">
      <c r="A78" t="s">
        <v>127</v>
      </c>
    </row>
    <row r="79" spans="1:11">
      <c r="A79" t="s">
        <v>123</v>
      </c>
      <c r="B79" s="44">
        <v>9366</v>
      </c>
      <c r="C79">
        <v>10828</v>
      </c>
      <c r="D79">
        <v>10270</v>
      </c>
      <c r="J79" s="27"/>
      <c r="K79" s="44"/>
    </row>
    <row r="80" spans="1:11">
      <c r="A80" t="s">
        <v>128</v>
      </c>
      <c r="B80" s="45">
        <v>2997</v>
      </c>
      <c r="C80">
        <v>2020</v>
      </c>
      <c r="D80">
        <v>3602</v>
      </c>
      <c r="J80" s="27"/>
      <c r="K80" s="45"/>
    </row>
    <row r="81" spans="1:11">
      <c r="A81" t="s">
        <v>129</v>
      </c>
      <c r="B81" s="45">
        <v>12363</v>
      </c>
      <c r="C81">
        <v>12848</v>
      </c>
      <c r="D81">
        <v>13872</v>
      </c>
      <c r="J81" s="27"/>
      <c r="K81" s="45"/>
    </row>
    <row r="82" spans="1:11">
      <c r="A82" t="s">
        <v>130</v>
      </c>
      <c r="B82" s="45">
        <v>1300</v>
      </c>
      <c r="C82">
        <v>1723</v>
      </c>
      <c r="D82">
        <v>1934</v>
      </c>
      <c r="J82" s="27"/>
      <c r="K82" s="45"/>
    </row>
    <row r="83" spans="1:11">
      <c r="A83" t="s">
        <v>131</v>
      </c>
      <c r="B83" s="45">
        <v>3410</v>
      </c>
      <c r="C83">
        <v>3569</v>
      </c>
      <c r="D83">
        <v>3038</v>
      </c>
      <c r="J83" s="27"/>
      <c r="K83" s="45"/>
    </row>
    <row r="84" spans="1:11">
      <c r="A84" t="s">
        <v>132</v>
      </c>
      <c r="B84" s="45">
        <v>4424</v>
      </c>
      <c r="C84">
        <v>4728</v>
      </c>
      <c r="D84">
        <v>4425</v>
      </c>
      <c r="J84" s="27"/>
      <c r="K84" s="45"/>
    </row>
    <row r="85" spans="1:11">
      <c r="A85" t="s">
        <v>133</v>
      </c>
      <c r="B85" s="45">
        <v>5235</v>
      </c>
      <c r="C85">
        <v>2998</v>
      </c>
      <c r="D85">
        <v>2433</v>
      </c>
      <c r="J85" s="27"/>
      <c r="K85" s="45"/>
    </row>
    <row r="86" spans="1:11">
      <c r="A86" t="s">
        <v>134</v>
      </c>
      <c r="B86" s="45">
        <v>0</v>
      </c>
      <c r="C86">
        <v>131</v>
      </c>
      <c r="D86">
        <v>5342</v>
      </c>
      <c r="J86" s="27"/>
      <c r="K86" s="45"/>
    </row>
    <row r="87" spans="1:11">
      <c r="A87" t="s">
        <v>135</v>
      </c>
      <c r="B87" s="45">
        <v>26732</v>
      </c>
      <c r="C87">
        <v>25997</v>
      </c>
      <c r="D87">
        <v>31044</v>
      </c>
      <c r="J87" s="27"/>
      <c r="K87" s="45"/>
    </row>
    <row r="88" spans="1:11">
      <c r="A88" t="s">
        <v>136</v>
      </c>
      <c r="B88" s="45">
        <v>19671</v>
      </c>
      <c r="C88">
        <v>18087</v>
      </c>
      <c r="D88">
        <v>20235</v>
      </c>
      <c r="J88" s="27"/>
      <c r="K88" s="45"/>
    </row>
    <row r="89" spans="1:11">
      <c r="A89" t="s">
        <v>137</v>
      </c>
      <c r="B89" s="45">
        <v>1561</v>
      </c>
      <c r="C89">
        <v>1319</v>
      </c>
      <c r="D89">
        <v>1206</v>
      </c>
      <c r="J89" s="27"/>
      <c r="K89" s="45"/>
    </row>
    <row r="90" spans="1:11">
      <c r="A90" t="s">
        <v>138</v>
      </c>
      <c r="B90" s="45">
        <v>9236</v>
      </c>
      <c r="C90">
        <v>10303</v>
      </c>
      <c r="D90">
        <v>9613</v>
      </c>
      <c r="J90" s="27"/>
      <c r="K90" s="45"/>
    </row>
    <row r="91" spans="1:11">
      <c r="A91" t="s">
        <v>139</v>
      </c>
      <c r="B91" s="45">
        <v>14349</v>
      </c>
      <c r="C91">
        <v>13301</v>
      </c>
      <c r="D91">
        <v>12531</v>
      </c>
      <c r="J91" s="27"/>
      <c r="K91" s="45"/>
    </row>
    <row r="92" spans="1:11">
      <c r="A92" t="s">
        <v>140</v>
      </c>
      <c r="B92" s="45">
        <v>18358</v>
      </c>
      <c r="C92">
        <v>18139</v>
      </c>
      <c r="D92">
        <v>15491</v>
      </c>
      <c r="J92" s="27"/>
      <c r="K92" s="45"/>
    </row>
    <row r="93" spans="1:11">
      <c r="A93" t="s">
        <v>141</v>
      </c>
      <c r="B93" s="45">
        <v>7796</v>
      </c>
      <c r="C93">
        <v>13403</v>
      </c>
      <c r="D93">
        <v>14696</v>
      </c>
      <c r="J93" s="27"/>
      <c r="K93" s="45"/>
    </row>
    <row r="94" spans="1:11">
      <c r="A94" t="s">
        <v>142</v>
      </c>
      <c r="B94" s="43">
        <v>97703</v>
      </c>
      <c r="C94">
        <v>100549</v>
      </c>
      <c r="D94">
        <v>104816</v>
      </c>
      <c r="J94" s="27"/>
      <c r="K94" s="43"/>
    </row>
    <row r="95" spans="1:11">
      <c r="A95" t="s">
        <v>143</v>
      </c>
      <c r="B95" s="45"/>
      <c r="J95" s="27"/>
      <c r="K95" s="45"/>
    </row>
    <row r="96" spans="1:11">
      <c r="A96" t="s">
        <v>144</v>
      </c>
      <c r="B96" s="45">
        <v>15485</v>
      </c>
      <c r="C96">
        <v>21712</v>
      </c>
      <c r="D96">
        <v>14813</v>
      </c>
      <c r="J96" s="27"/>
      <c r="K96" s="45"/>
    </row>
    <row r="97" spans="1:11">
      <c r="A97" t="s">
        <v>145</v>
      </c>
      <c r="B97" s="45">
        <v>4557</v>
      </c>
      <c r="C97">
        <v>1499</v>
      </c>
      <c r="D97">
        <v>1551</v>
      </c>
      <c r="J97" s="27"/>
      <c r="K97" s="43"/>
    </row>
    <row r="98" spans="1:11">
      <c r="A98" t="s">
        <v>146</v>
      </c>
      <c r="B98" s="45">
        <v>1960</v>
      </c>
      <c r="C98">
        <v>648</v>
      </c>
      <c r="D98">
        <v>1822</v>
      </c>
      <c r="J98" s="27"/>
      <c r="K98" s="45"/>
    </row>
    <row r="99" spans="1:11">
      <c r="A99" t="s">
        <v>147</v>
      </c>
      <c r="B99" s="45">
        <v>1569</v>
      </c>
      <c r="C99">
        <v>1387</v>
      </c>
      <c r="D99">
        <v>525</v>
      </c>
      <c r="J99" s="27"/>
      <c r="K99" s="45"/>
    </row>
    <row r="100" spans="1:11">
      <c r="A100" t="s">
        <v>148</v>
      </c>
      <c r="B100" s="45">
        <v>0</v>
      </c>
      <c r="C100">
        <v>3</v>
      </c>
      <c r="D100">
        <v>2570</v>
      </c>
      <c r="J100" s="27"/>
      <c r="K100" s="45"/>
    </row>
    <row r="101" spans="1:11">
      <c r="A101" t="s">
        <v>149</v>
      </c>
      <c r="B101" s="45">
        <v>23571</v>
      </c>
      <c r="C101">
        <v>25249</v>
      </c>
      <c r="D101">
        <v>21281</v>
      </c>
      <c r="J101" s="27"/>
      <c r="K101" s="45"/>
    </row>
    <row r="102" spans="1:11">
      <c r="A102" t="s">
        <v>150</v>
      </c>
      <c r="B102" s="45">
        <v>35547</v>
      </c>
      <c r="C102">
        <v>42375</v>
      </c>
      <c r="D102">
        <v>42119</v>
      </c>
      <c r="J102" s="27"/>
      <c r="K102" s="45"/>
    </row>
    <row r="103" spans="1:11">
      <c r="A103" t="s">
        <v>151</v>
      </c>
      <c r="B103" s="43">
        <v>8466</v>
      </c>
      <c r="C103">
        <v>4084</v>
      </c>
      <c r="D103">
        <v>4735</v>
      </c>
      <c r="J103" s="27"/>
      <c r="K103" s="43"/>
    </row>
    <row r="104" spans="1:11">
      <c r="A104" t="s">
        <v>152</v>
      </c>
      <c r="B104" s="45">
        <v>2639</v>
      </c>
      <c r="C104">
        <v>2469</v>
      </c>
      <c r="D104">
        <v>2406</v>
      </c>
      <c r="J104" s="27"/>
      <c r="K104" s="45"/>
    </row>
    <row r="105" spans="1:11">
      <c r="A105" t="s">
        <v>153</v>
      </c>
      <c r="B105" s="45"/>
      <c r="J105" s="27"/>
      <c r="K105" s="45"/>
    </row>
    <row r="106" spans="1:11">
      <c r="A106" t="s">
        <v>154</v>
      </c>
      <c r="B106" s="45">
        <v>1760</v>
      </c>
      <c r="C106">
        <v>1760</v>
      </c>
      <c r="D106">
        <v>1760</v>
      </c>
      <c r="J106" s="27"/>
      <c r="K106" s="45"/>
    </row>
    <row r="107" spans="1:11">
      <c r="A107" t="s">
        <v>155</v>
      </c>
      <c r="B107" s="45">
        <v>19209</v>
      </c>
      <c r="C107">
        <v>19801</v>
      </c>
      <c r="D107">
        <v>20581</v>
      </c>
      <c r="J107" s="27"/>
      <c r="K107" s="45"/>
    </row>
    <row r="108" spans="1:11">
      <c r="A108" t="s">
        <v>156</v>
      </c>
      <c r="B108" s="45">
        <v>73782</v>
      </c>
      <c r="C108">
        <v>76054</v>
      </c>
      <c r="D108">
        <v>80382</v>
      </c>
      <c r="J108" s="27"/>
      <c r="K108" s="45"/>
    </row>
    <row r="109" spans="1:11">
      <c r="A109" t="s">
        <v>157</v>
      </c>
      <c r="B109" s="45">
        <v>-14275</v>
      </c>
      <c r="C109">
        <v>-16843</v>
      </c>
      <c r="D109">
        <v>-14131</v>
      </c>
      <c r="J109" s="27"/>
      <c r="K109" s="45"/>
    </row>
    <row r="110" spans="1:11">
      <c r="A110" t="s">
        <v>158</v>
      </c>
      <c r="B110" s="45">
        <v>-54535</v>
      </c>
      <c r="C110">
        <v>-55916</v>
      </c>
      <c r="D110">
        <v>-56423</v>
      </c>
      <c r="J110" s="27"/>
      <c r="K110" s="45"/>
    </row>
    <row r="111" spans="1:11">
      <c r="A111" t="s">
        <v>159</v>
      </c>
      <c r="B111" s="45">
        <v>25941</v>
      </c>
      <c r="C111">
        <v>24856</v>
      </c>
      <c r="D111">
        <v>32169</v>
      </c>
      <c r="J111" s="27"/>
      <c r="K111" s="45"/>
    </row>
    <row r="112" spans="1:11">
      <c r="A112" t="s">
        <v>160</v>
      </c>
      <c r="B112" s="44">
        <v>1539</v>
      </c>
      <c r="C112">
        <v>1516</v>
      </c>
      <c r="D112">
        <v>2106</v>
      </c>
      <c r="J112" s="27"/>
      <c r="K112" s="44"/>
    </row>
    <row r="113" spans="1:4">
      <c r="A113" t="s">
        <v>161</v>
      </c>
      <c r="B113">
        <v>27480</v>
      </c>
      <c r="C113">
        <v>26372</v>
      </c>
      <c r="D113">
        <v>34275</v>
      </c>
    </row>
    <row r="114" spans="1:4">
      <c r="A114" t="s">
        <v>162</v>
      </c>
      <c r="B114">
        <v>97703</v>
      </c>
      <c r="C114">
        <v>100549</v>
      </c>
      <c r="D114">
        <v>104816</v>
      </c>
    </row>
  </sheetData>
  <mergeCells count="1">
    <mergeCell ref="B32:B33"/>
  </mergeCells>
  <hyperlinks>
    <hyperlink ref="A35" r:id="rId1" display="javascript:void(0);" xr:uid="{00000000-0004-0000-0000-000000000000}"/>
    <hyperlink ref="A36" r:id="rId2" display="javascript:void(0);" xr:uid="{00000000-0004-0000-0000-000001000000}"/>
    <hyperlink ref="A37" r:id="rId3" display="javascript:void(0);" xr:uid="{00000000-0004-0000-0000-000002000000}"/>
    <hyperlink ref="A38" r:id="rId4" display="javascript:void(0);" xr:uid="{00000000-0004-0000-0000-000003000000}"/>
    <hyperlink ref="A39" r:id="rId5" display="javascript:void(0);" xr:uid="{00000000-0004-0000-0000-000004000000}"/>
    <hyperlink ref="A40" r:id="rId6" display="javascript:void(0);" xr:uid="{00000000-0004-0000-0000-000005000000}"/>
    <hyperlink ref="A41" r:id="rId7" display="javascript:void(0);" xr:uid="{00000000-0004-0000-0000-000006000000}"/>
    <hyperlink ref="A42" r:id="rId8" display="javascript:void(0);" xr:uid="{00000000-0004-0000-0000-000007000000}"/>
    <hyperlink ref="A43" r:id="rId9" display="javascript:void(0);" xr:uid="{00000000-0004-0000-0000-000008000000}"/>
    <hyperlink ref="A44" r:id="rId10" display="javascript:void(0);" xr:uid="{00000000-0004-0000-0000-000009000000}"/>
    <hyperlink ref="A45" r:id="rId11" display="javascript:void(0);" xr:uid="{00000000-0004-0000-0000-00000A000000}"/>
    <hyperlink ref="A46" r:id="rId12" display="javascript:void(0);" xr:uid="{00000000-0004-0000-0000-00000B000000}"/>
    <hyperlink ref="A47" r:id="rId13" display="javascript:void(0);" xr:uid="{00000000-0004-0000-0000-00000C000000}"/>
    <hyperlink ref="A48" r:id="rId14" display="javascript:void(0);" xr:uid="{00000000-0004-0000-0000-00000D000000}"/>
    <hyperlink ref="A49" r:id="rId15" display="javascript:void(0);" xr:uid="{00000000-0004-0000-0000-00000E000000}"/>
    <hyperlink ref="A50" r:id="rId16" display="javascript:void(0);" xr:uid="{00000000-0004-0000-0000-00000F000000}"/>
    <hyperlink ref="A51" r:id="rId17" display="javascript:void(0);" xr:uid="{00000000-0004-0000-0000-000010000000}"/>
    <hyperlink ref="A52" r:id="rId18" display="javascript:void(0);" xr:uid="{00000000-0004-0000-0000-000011000000}"/>
    <hyperlink ref="A53" r:id="rId19" display="javascript:void(0);" xr:uid="{00000000-0004-0000-0000-000012000000}"/>
    <hyperlink ref="A54" r:id="rId20" display="javascript:void(0);" xr:uid="{00000000-0004-0000-0000-000013000000}"/>
    <hyperlink ref="A55" r:id="rId21" display="javascript:void(0);" xr:uid="{00000000-0004-0000-0000-000014000000}"/>
    <hyperlink ref="A56" r:id="rId22" display="javascript:void(0);" xr:uid="{00000000-0004-0000-0000-000015000000}"/>
    <hyperlink ref="A57" r:id="rId23" display="javascript:void(0);" xr:uid="{00000000-0004-0000-0000-000016000000}"/>
    <hyperlink ref="A58" r:id="rId24" display="javascript:void(0);" xr:uid="{00000000-0004-0000-0000-000017000000}"/>
    <hyperlink ref="A59" r:id="rId25" display="javascript:void(0);" xr:uid="{00000000-0004-0000-0000-000018000000}"/>
    <hyperlink ref="A60" r:id="rId26" display="javascript:void(0);" xr:uid="{00000000-0004-0000-0000-000019000000}"/>
    <hyperlink ref="A61" r:id="rId27" display="javascript:void(0);" xr:uid="{00000000-0004-0000-0000-00001A000000}"/>
    <hyperlink ref="A62" r:id="rId28" display="javascript:void(0);" xr:uid="{00000000-0004-0000-0000-00001B000000}"/>
    <hyperlink ref="A63" r:id="rId29" display="javascript:void(0);" xr:uid="{00000000-0004-0000-0000-00001C000000}"/>
    <hyperlink ref="A64" r:id="rId30" display="javascript:void(0);" xr:uid="{00000000-0004-0000-0000-00001D000000}"/>
    <hyperlink ref="A65" r:id="rId31" display="javascript:void(0);" xr:uid="{00000000-0004-0000-0000-00001E000000}"/>
    <hyperlink ref="A66" r:id="rId32" display="javascript:void(0);" xr:uid="{00000000-0004-0000-0000-00001F000000}"/>
    <hyperlink ref="A67" r:id="rId33" display="javascript:void(0);" xr:uid="{00000000-0004-0000-0000-000020000000}"/>
    <hyperlink ref="A68" r:id="rId34" display="javascript:void(0);" xr:uid="{00000000-0004-0000-0000-000021000000}"/>
    <hyperlink ref="A69" r:id="rId35" display="javascript:void(0);" xr:uid="{00000000-0004-0000-0000-000022000000}"/>
    <hyperlink ref="A70" r:id="rId36" display="javascript:void(0);" xr:uid="{00000000-0004-0000-0000-000023000000}"/>
    <hyperlink ref="A71" r:id="rId37" display="javascript:void(0);" xr:uid="{00000000-0004-0000-0000-000024000000}"/>
    <hyperlink ref="A72" r:id="rId38" display="javascript:void(0);" xr:uid="{00000000-0004-0000-0000-00002500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5"/>
  <sheetViews>
    <sheetView showGridLines="0" zoomScale="90" zoomScaleNormal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6" sqref="B6"/>
    </sheetView>
  </sheetViews>
  <sheetFormatPr defaultColWidth="10.83203125" defaultRowHeight="12.5"/>
  <cols>
    <col min="1" max="1" width="2.83203125" style="3" customWidth="1"/>
    <col min="2" max="2" width="45.83203125" style="3" customWidth="1"/>
    <col min="3" max="3" width="10.83203125" style="3" customWidth="1"/>
    <col min="4" max="8" width="11.83203125" style="3" customWidth="1"/>
    <col min="9" max="17" width="10.83203125" style="3" customWidth="1"/>
    <col min="18" max="16384" width="10.83203125" style="3"/>
  </cols>
  <sheetData>
    <row r="1" spans="2:8" ht="16" customHeight="1">
      <c r="B1" s="6" t="s">
        <v>0</v>
      </c>
    </row>
    <row r="2" spans="2:8" ht="13" customHeight="1">
      <c r="B2" s="5" t="s">
        <v>163</v>
      </c>
    </row>
    <row r="3" spans="2:8" ht="13" customHeight="1">
      <c r="B3" s="4" t="s">
        <v>164</v>
      </c>
    </row>
    <row r="5" spans="2:8" ht="13" customHeight="1">
      <c r="B5" s="7" t="s">
        <v>165</v>
      </c>
      <c r="C5" s="7"/>
      <c r="D5" s="8">
        <v>2021</v>
      </c>
      <c r="E5" s="9">
        <f>D5+1</f>
        <v>2022</v>
      </c>
      <c r="F5" s="9">
        <f>E5+1</f>
        <v>2023</v>
      </c>
      <c r="G5" s="9">
        <f>F5+1</f>
        <v>2024</v>
      </c>
      <c r="H5" s="9">
        <f>G5+1</f>
        <v>2025</v>
      </c>
    </row>
    <row r="6" spans="2:8" ht="16" customHeight="1">
      <c r="B6" s="10" t="s">
        <v>166</v>
      </c>
      <c r="D6" s="11"/>
      <c r="E6" s="11"/>
      <c r="F6" s="12">
        <v>45754</v>
      </c>
      <c r="G6" s="12">
        <v>47061</v>
      </c>
      <c r="H6" s="12">
        <v>47941</v>
      </c>
    </row>
    <row r="7" spans="2:8" ht="16" customHeight="1">
      <c r="B7" s="13" t="s">
        <v>167</v>
      </c>
      <c r="D7" s="14"/>
      <c r="E7" s="14"/>
      <c r="F7" s="14"/>
      <c r="G7" s="14">
        <f>G6/F6-1</f>
        <v>2.8565808453905772E-2</v>
      </c>
      <c r="H7" s="14">
        <f>H6/G6-1</f>
        <v>1.8699135164998548E-2</v>
      </c>
    </row>
    <row r="8" spans="2:8" ht="16" customHeight="1">
      <c r="B8" s="10" t="s">
        <v>66</v>
      </c>
      <c r="D8" s="11"/>
      <c r="E8" s="11"/>
      <c r="F8" s="12">
        <v>18520</v>
      </c>
      <c r="G8" s="12">
        <v>18324</v>
      </c>
      <c r="H8" s="12">
        <v>18397</v>
      </c>
    </row>
    <row r="9" spans="2:8" ht="16" customHeight="1">
      <c r="B9" s="15" t="s">
        <v>168</v>
      </c>
      <c r="C9" s="16"/>
      <c r="D9" s="17"/>
      <c r="E9" s="17"/>
      <c r="F9" s="17">
        <f>F6-F8</f>
        <v>27234</v>
      </c>
      <c r="G9" s="17">
        <f>G6-G8</f>
        <v>28737</v>
      </c>
      <c r="H9" s="17">
        <f>H6-H8</f>
        <v>29544</v>
      </c>
    </row>
    <row r="10" spans="2:8" ht="16" customHeight="1">
      <c r="B10" s="13" t="s">
        <v>169</v>
      </c>
      <c r="D10" s="14"/>
      <c r="E10" s="14"/>
      <c r="F10" s="14">
        <f>F9/F6</f>
        <v>0.5952266468505486</v>
      </c>
      <c r="G10" s="14">
        <f>G9/G6</f>
        <v>0.61063300822336963</v>
      </c>
      <c r="H10" s="14">
        <f>H9/H6</f>
        <v>0.61625748315637974</v>
      </c>
    </row>
    <row r="11" spans="2:8" ht="16" customHeight="1">
      <c r="B11" s="10" t="s">
        <v>170</v>
      </c>
      <c r="D11" s="11"/>
      <c r="E11" s="11"/>
      <c r="F11" s="12">
        <v>13972</v>
      </c>
      <c r="G11" s="12">
        <v>14582</v>
      </c>
      <c r="H11" s="12">
        <v>14521</v>
      </c>
    </row>
    <row r="12" spans="2:8" ht="16" customHeight="1">
      <c r="B12" s="13" t="s">
        <v>171</v>
      </c>
      <c r="D12" s="14"/>
      <c r="E12" s="14"/>
      <c r="F12" s="14">
        <f>F11/F6</f>
        <v>0.30537220789439173</v>
      </c>
      <c r="G12" s="14">
        <f>G11/G6</f>
        <v>0.30985316929092027</v>
      </c>
      <c r="H12" s="14">
        <f>H11/H6</f>
        <v>0.30289313948394903</v>
      </c>
    </row>
    <row r="13" spans="2:8" ht="16" customHeight="1">
      <c r="B13" s="10" t="s">
        <v>69</v>
      </c>
      <c r="D13" s="11"/>
      <c r="E13" s="11"/>
      <c r="F13" s="12">
        <v>1951</v>
      </c>
      <c r="G13" s="12">
        <v>4163</v>
      </c>
      <c r="H13" s="12">
        <v>1261</v>
      </c>
    </row>
    <row r="14" spans="2:8" ht="16" customHeight="1">
      <c r="B14" s="15" t="s">
        <v>172</v>
      </c>
      <c r="C14" s="16"/>
      <c r="D14" s="17"/>
      <c r="E14" s="17"/>
      <c r="F14" s="17">
        <f>F9-F11-F13</f>
        <v>11311</v>
      </c>
      <c r="G14" s="17">
        <f>G9-G11-G13</f>
        <v>9992</v>
      </c>
      <c r="H14" s="17">
        <f>H9-H11-H13</f>
        <v>13762</v>
      </c>
    </row>
    <row r="15" spans="2:8" ht="16" customHeight="1">
      <c r="B15" s="13" t="s">
        <v>169</v>
      </c>
      <c r="D15" s="14"/>
      <c r="E15" s="14"/>
      <c r="F15" s="14">
        <f>F14/F6</f>
        <v>0.24721335839489444</v>
      </c>
      <c r="G15" s="14">
        <f>G14/G6</f>
        <v>0.21232018019166612</v>
      </c>
      <c r="H15" s="14">
        <f>H14/H6</f>
        <v>0.28706117936630443</v>
      </c>
    </row>
    <row r="16" spans="2:8" ht="16" customHeight="1">
      <c r="B16" s="10" t="s">
        <v>71</v>
      </c>
      <c r="D16" s="11"/>
      <c r="E16" s="11"/>
      <c r="F16" s="12">
        <v>907</v>
      </c>
      <c r="G16" s="12">
        <v>988</v>
      </c>
      <c r="H16" s="12">
        <v>786</v>
      </c>
    </row>
    <row r="17" spans="2:8" ht="16" customHeight="1">
      <c r="B17" s="10" t="s">
        <v>72</v>
      </c>
      <c r="D17" s="11"/>
      <c r="E17" s="11"/>
      <c r="F17" s="12">
        <v>1527</v>
      </c>
      <c r="G17" s="12">
        <v>1656</v>
      </c>
      <c r="H17" s="12">
        <v>1654</v>
      </c>
    </row>
    <row r="18" spans="2:8" ht="16" customHeight="1">
      <c r="B18" s="10" t="s">
        <v>173</v>
      </c>
      <c r="D18" s="11"/>
      <c r="E18" s="11"/>
      <c r="F18" s="12">
        <v>1691</v>
      </c>
      <c r="G18" s="12">
        <v>1770</v>
      </c>
      <c r="H18" s="12">
        <v>2031</v>
      </c>
    </row>
    <row r="19" spans="2:8" ht="16" customHeight="1">
      <c r="B19" s="10" t="s">
        <v>174</v>
      </c>
      <c r="D19" s="11"/>
      <c r="E19" s="11"/>
      <c r="F19" s="12">
        <v>570</v>
      </c>
      <c r="G19" s="12">
        <v>1992</v>
      </c>
      <c r="H19" s="12">
        <v>1073</v>
      </c>
    </row>
    <row r="20" spans="2:8" ht="16" customHeight="1">
      <c r="B20" s="15" t="s">
        <v>175</v>
      </c>
      <c r="C20" s="16"/>
      <c r="D20" s="17"/>
      <c r="E20" s="17"/>
      <c r="F20" s="17">
        <f>F14+F16-F17+F18+F19</f>
        <v>12952</v>
      </c>
      <c r="G20" s="17">
        <f>G14+G16-G17+G18+G19</f>
        <v>13086</v>
      </c>
      <c r="H20" s="17">
        <f>H14+H16-H17+H18+H19</f>
        <v>15998</v>
      </c>
    </row>
    <row r="21" spans="2:8" ht="16" customHeight="1">
      <c r="B21" s="10" t="s">
        <v>76</v>
      </c>
      <c r="D21" s="11"/>
      <c r="E21" s="11"/>
      <c r="F21" s="12">
        <v>2249</v>
      </c>
      <c r="G21" s="12">
        <v>2437</v>
      </c>
      <c r="H21" s="12">
        <v>2861</v>
      </c>
    </row>
    <row r="22" spans="2:8" ht="16" customHeight="1">
      <c r="B22" s="13" t="s">
        <v>176</v>
      </c>
      <c r="D22" s="14"/>
      <c r="E22" s="14"/>
      <c r="F22" s="14">
        <f>F21/F20</f>
        <v>0.17364113650401483</v>
      </c>
      <c r="G22" s="14">
        <f>G21/G20</f>
        <v>0.18622955830658719</v>
      </c>
      <c r="H22" s="14">
        <f>H21/H20</f>
        <v>0.17883485435679461</v>
      </c>
    </row>
    <row r="23" spans="2:8" ht="16" customHeight="1">
      <c r="B23" s="15" t="s">
        <v>177</v>
      </c>
      <c r="C23" s="16"/>
      <c r="D23" s="17"/>
      <c r="E23" s="17"/>
      <c r="F23" s="17">
        <f>F20-F21</f>
        <v>10703</v>
      </c>
      <c r="G23" s="17">
        <f>G20-G21</f>
        <v>10649</v>
      </c>
      <c r="H23" s="17">
        <f>H20-H21</f>
        <v>13137</v>
      </c>
    </row>
    <row r="24" spans="2:8" ht="16" customHeight="1">
      <c r="B24" s="10" t="s">
        <v>178</v>
      </c>
      <c r="D24" s="11"/>
      <c r="E24" s="11"/>
      <c r="F24" s="12">
        <v>-11</v>
      </c>
      <c r="G24" s="12">
        <v>18</v>
      </c>
      <c r="H24" s="12">
        <v>30</v>
      </c>
    </row>
    <row r="25" spans="2:8" ht="16" customHeight="1">
      <c r="B25" s="15" t="s">
        <v>179</v>
      </c>
      <c r="C25" s="16"/>
      <c r="D25" s="17"/>
      <c r="E25" s="17"/>
      <c r="F25" s="17">
        <f>F23-F24</f>
        <v>10714</v>
      </c>
      <c r="G25" s="17">
        <f>G23-G24</f>
        <v>10631</v>
      </c>
      <c r="H25" s="17">
        <f>H23-H24</f>
        <v>13107</v>
      </c>
    </row>
    <row r="26" spans="2:8" ht="16" customHeight="1">
      <c r="B26" s="13" t="s">
        <v>169</v>
      </c>
      <c r="D26" s="14"/>
      <c r="E26" s="14"/>
      <c r="F26" s="14">
        <f>F25/F6</f>
        <v>0.23416531887922368</v>
      </c>
      <c r="G26" s="14">
        <f>G25/G6</f>
        <v>0.22589830220352308</v>
      </c>
      <c r="H26" s="14">
        <f>H25/H6</f>
        <v>0.27339855238730942</v>
      </c>
    </row>
    <row r="27" spans="2:8" ht="16" customHeight="1">
      <c r="B27" s="10"/>
      <c r="D27" s="18"/>
      <c r="E27" s="18"/>
      <c r="F27" s="18"/>
      <c r="G27" s="18"/>
      <c r="H27" s="18"/>
    </row>
    <row r="28" spans="2:8" ht="16" customHeight="1">
      <c r="B28" s="10" t="s">
        <v>180</v>
      </c>
      <c r="D28" s="19"/>
      <c r="E28" s="19"/>
      <c r="F28" s="19">
        <f>F25/F29</f>
        <v>2.4692325420603827</v>
      </c>
      <c r="G28" s="19">
        <f>G25/G29</f>
        <v>2.4608796296296296</v>
      </c>
      <c r="H28" s="19">
        <f>H25/H29</f>
        <v>3.038952005564572</v>
      </c>
    </row>
    <row r="29" spans="2:8" ht="16" customHeight="1">
      <c r="B29" s="10" t="s">
        <v>181</v>
      </c>
      <c r="D29" s="11"/>
      <c r="E29" s="11"/>
      <c r="F29" s="12">
        <v>4339</v>
      </c>
      <c r="G29" s="12">
        <v>4320</v>
      </c>
      <c r="H29" s="12">
        <v>4313</v>
      </c>
    </row>
    <row r="30" spans="2:8">
      <c r="B30" s="20"/>
      <c r="D30" s="18"/>
      <c r="E30" s="18"/>
      <c r="F30" s="18"/>
      <c r="G30" s="18"/>
      <c r="H30" s="18"/>
    </row>
    <row r="31" spans="2:8" ht="13" customHeight="1">
      <c r="B31" s="21" t="s">
        <v>182</v>
      </c>
      <c r="D31" s="22"/>
      <c r="E31" s="22"/>
      <c r="F31" s="22"/>
      <c r="G31" s="22"/>
      <c r="H31" s="22"/>
    </row>
    <row r="32" spans="2:8">
      <c r="B32" s="20" t="s">
        <v>183</v>
      </c>
      <c r="D32" s="11"/>
      <c r="E32" s="11"/>
      <c r="F32" s="12">
        <v>27234</v>
      </c>
      <c r="G32" s="12">
        <v>28737</v>
      </c>
      <c r="H32" s="12">
        <v>29544</v>
      </c>
    </row>
    <row r="33" spans="2:8">
      <c r="B33" s="20" t="s">
        <v>184</v>
      </c>
      <c r="D33" s="11"/>
      <c r="E33" s="11"/>
      <c r="F33" s="12">
        <v>11311</v>
      </c>
      <c r="G33" s="12">
        <v>9992</v>
      </c>
      <c r="H33" s="12">
        <v>13762</v>
      </c>
    </row>
    <row r="34" spans="2:8">
      <c r="B34" s="20" t="s">
        <v>185</v>
      </c>
      <c r="D34" s="11"/>
      <c r="E34" s="11"/>
      <c r="F34" s="12">
        <v>12952</v>
      </c>
      <c r="G34" s="12">
        <v>13086</v>
      </c>
      <c r="H34" s="12">
        <v>15998</v>
      </c>
    </row>
    <row r="35" spans="2:8">
      <c r="B35" s="20" t="s">
        <v>186</v>
      </c>
      <c r="D35" s="11"/>
      <c r="E35" s="11"/>
      <c r="F35" s="12">
        <v>10703</v>
      </c>
      <c r="G35" s="12">
        <v>10649</v>
      </c>
      <c r="H35" s="12">
        <v>13137</v>
      </c>
    </row>
    <row r="36" spans="2:8">
      <c r="B36" s="20" t="s">
        <v>187</v>
      </c>
      <c r="D36" s="11"/>
      <c r="E36" s="11"/>
      <c r="F36" s="12">
        <v>10714</v>
      </c>
      <c r="G36" s="12">
        <v>10631</v>
      </c>
      <c r="H36" s="12">
        <v>13107</v>
      </c>
    </row>
    <row r="37" spans="2:8">
      <c r="B37" s="20" t="s">
        <v>188</v>
      </c>
      <c r="D37" s="19"/>
      <c r="E37" s="19"/>
      <c r="F37" s="23">
        <v>2.4700000000000002</v>
      </c>
      <c r="G37" s="23">
        <v>2.46</v>
      </c>
      <c r="H37" s="23">
        <v>3.04</v>
      </c>
    </row>
    <row r="38" spans="2:8">
      <c r="B38" s="20"/>
      <c r="D38" s="18"/>
      <c r="E38" s="18"/>
      <c r="F38" s="18"/>
      <c r="G38" s="18"/>
      <c r="H38" s="18"/>
    </row>
    <row r="39" spans="2:8" ht="13" customHeight="1">
      <c r="B39" s="21" t="s">
        <v>189</v>
      </c>
      <c r="D39" s="22"/>
      <c r="E39" s="22"/>
      <c r="F39" s="22"/>
      <c r="G39" s="22"/>
      <c r="H39" s="22"/>
    </row>
    <row r="40" spans="2:8">
      <c r="B40" s="20" t="s">
        <v>168</v>
      </c>
      <c r="D40" s="11"/>
      <c r="E40" s="11"/>
      <c r="F40" s="11">
        <f>F9-F32</f>
        <v>0</v>
      </c>
      <c r="G40" s="11">
        <f>G9-G32</f>
        <v>0</v>
      </c>
      <c r="H40" s="11">
        <f>H9-H32</f>
        <v>0</v>
      </c>
    </row>
    <row r="41" spans="2:8">
      <c r="B41" s="20" t="s">
        <v>172</v>
      </c>
      <c r="D41" s="11"/>
      <c r="E41" s="11"/>
      <c r="F41" s="11">
        <f>F14-F33</f>
        <v>0</v>
      </c>
      <c r="G41" s="11">
        <f>G14-G33</f>
        <v>0</v>
      </c>
      <c r="H41" s="11">
        <f>H14-H33</f>
        <v>0</v>
      </c>
    </row>
    <row r="42" spans="2:8">
      <c r="B42" s="20" t="s">
        <v>190</v>
      </c>
      <c r="D42" s="11"/>
      <c r="E42" s="11"/>
      <c r="F42" s="11">
        <f>F20-F34</f>
        <v>0</v>
      </c>
      <c r="G42" s="11">
        <f>G20-G34</f>
        <v>0</v>
      </c>
      <c r="H42" s="11">
        <f>H20-H34</f>
        <v>0</v>
      </c>
    </row>
    <row r="43" spans="2:8">
      <c r="B43" s="20" t="s">
        <v>177</v>
      </c>
      <c r="D43" s="11"/>
      <c r="E43" s="11"/>
      <c r="F43" s="11">
        <f>F23-F35</f>
        <v>0</v>
      </c>
      <c r="G43" s="11">
        <f>G23-G35</f>
        <v>0</v>
      </c>
      <c r="H43" s="11">
        <f>H23-H35</f>
        <v>0</v>
      </c>
    </row>
    <row r="44" spans="2:8">
      <c r="B44" s="20" t="s">
        <v>179</v>
      </c>
      <c r="D44" s="11"/>
      <c r="E44" s="11"/>
      <c r="F44" s="11">
        <f>F25-F36</f>
        <v>0</v>
      </c>
      <c r="G44" s="11">
        <f>G25-G36</f>
        <v>0</v>
      </c>
      <c r="H44" s="11">
        <f>H25-H36</f>
        <v>0</v>
      </c>
    </row>
    <row r="45" spans="2:8">
      <c r="B45" s="20" t="s">
        <v>180</v>
      </c>
      <c r="D45" s="24"/>
      <c r="E45" s="24"/>
      <c r="F45" s="24">
        <f>ROUND(F28-F37,2)</f>
        <v>0</v>
      </c>
      <c r="G45" s="24">
        <f>ROUND(G28-G37,2)</f>
        <v>0</v>
      </c>
      <c r="H45" s="24">
        <f>ROUND(H28-H37,2)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32"/>
  <sheetViews>
    <sheetView showGridLines="0" zoomScale="95" zoomScaleNormal="9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1" sqref="B1:B5"/>
    </sheetView>
  </sheetViews>
  <sheetFormatPr defaultColWidth="10.83203125" defaultRowHeight="12.5"/>
  <cols>
    <col min="1" max="1" width="2.83203125" style="3" customWidth="1"/>
    <col min="2" max="2" width="45.83203125" style="3" customWidth="1"/>
    <col min="3" max="3" width="13.5" style="3" bestFit="1" customWidth="1"/>
    <col min="4" max="8" width="11.83203125" style="3" customWidth="1"/>
    <col min="9" max="16" width="10.83203125" style="3" customWidth="1"/>
    <col min="17" max="16384" width="10.83203125" style="3"/>
  </cols>
  <sheetData>
    <row r="1" spans="2:8" ht="16" customHeight="1">
      <c r="B1" s="6" t="s">
        <v>191</v>
      </c>
    </row>
    <row r="2" spans="2:8">
      <c r="B2" s="3" t="s">
        <v>192</v>
      </c>
    </row>
    <row r="3" spans="2:8">
      <c r="B3" s="3" t="s">
        <v>193</v>
      </c>
    </row>
    <row r="5" spans="2:8" ht="13" customHeight="1">
      <c r="B5" s="5" t="s">
        <v>165</v>
      </c>
      <c r="C5" s="5"/>
      <c r="D5" s="29">
        <v>2021</v>
      </c>
      <c r="E5" s="30">
        <f>D5+1</f>
        <v>2022</v>
      </c>
      <c r="F5" s="30">
        <f>E5+1</f>
        <v>2023</v>
      </c>
      <c r="G5" s="30">
        <f>F5+1</f>
        <v>2024</v>
      </c>
      <c r="H5" s="30">
        <f>G5+1</f>
        <v>2025</v>
      </c>
    </row>
    <row r="6" spans="2:8">
      <c r="B6" s="3" t="s">
        <v>77</v>
      </c>
      <c r="F6" s="35">
        <v>10703</v>
      </c>
      <c r="G6" s="35">
        <v>10649</v>
      </c>
      <c r="H6" s="35">
        <v>13137</v>
      </c>
    </row>
    <row r="7" spans="2:8">
      <c r="B7" s="3" t="s">
        <v>89</v>
      </c>
      <c r="F7" s="35">
        <v>1128</v>
      </c>
      <c r="G7" s="35">
        <v>1075</v>
      </c>
      <c r="H7" s="35">
        <v>1050</v>
      </c>
    </row>
    <row r="8" spans="2:8">
      <c r="B8" s="3" t="s">
        <v>90</v>
      </c>
      <c r="F8" s="35">
        <v>254</v>
      </c>
      <c r="G8" s="35">
        <v>286</v>
      </c>
      <c r="H8" s="35">
        <v>279</v>
      </c>
    </row>
    <row r="9" spans="2:8">
      <c r="B9" s="3" t="s">
        <v>91</v>
      </c>
      <c r="F9" s="35">
        <v>-2</v>
      </c>
      <c r="G9" s="35">
        <v>-11</v>
      </c>
      <c r="H9" s="35">
        <v>517</v>
      </c>
    </row>
    <row r="10" spans="2:8">
      <c r="B10" s="3" t="s">
        <v>92</v>
      </c>
      <c r="F10" s="35">
        <v>-1019</v>
      </c>
      <c r="G10" s="35">
        <v>-802</v>
      </c>
      <c r="H10" s="35">
        <v>-1038</v>
      </c>
    </row>
    <row r="11" spans="2:8">
      <c r="B11" s="3" t="s">
        <v>93</v>
      </c>
      <c r="F11" s="35">
        <v>175</v>
      </c>
      <c r="G11" s="35">
        <v>-110</v>
      </c>
      <c r="H11" s="35">
        <v>191</v>
      </c>
    </row>
    <row r="12" spans="2:8">
      <c r="B12" s="3" t="s">
        <v>94</v>
      </c>
      <c r="F12" s="35">
        <v>-492</v>
      </c>
      <c r="G12" s="35">
        <v>-1737</v>
      </c>
      <c r="H12" s="35">
        <v>-713</v>
      </c>
    </row>
    <row r="13" spans="2:8">
      <c r="B13" s="3" t="s">
        <v>69</v>
      </c>
      <c r="F13" s="35">
        <v>1741</v>
      </c>
      <c r="G13" s="35">
        <v>4000</v>
      </c>
      <c r="H13" s="35">
        <v>1052</v>
      </c>
    </row>
    <row r="14" spans="2:8">
      <c r="B14" s="3" t="s">
        <v>95</v>
      </c>
      <c r="F14" s="35">
        <v>-43</v>
      </c>
      <c r="G14" s="35">
        <v>-311</v>
      </c>
      <c r="H14" s="35">
        <v>141</v>
      </c>
    </row>
    <row r="15" spans="2:8">
      <c r="B15" s="33" t="s">
        <v>96</v>
      </c>
      <c r="C15" s="33"/>
      <c r="D15" s="33"/>
      <c r="E15" s="33"/>
      <c r="F15" s="36">
        <v>-846</v>
      </c>
      <c r="G15" s="36">
        <v>-6234</v>
      </c>
      <c r="H15" s="36">
        <v>-7208</v>
      </c>
    </row>
    <row r="16" spans="2:8" ht="13" customHeight="1">
      <c r="B16" s="5" t="s">
        <v>194</v>
      </c>
      <c r="F16" s="34">
        <f>SUM(F6:F15)</f>
        <v>11599</v>
      </c>
      <c r="G16" s="34">
        <f>SUM(G6:G15)</f>
        <v>6805</v>
      </c>
      <c r="H16" s="34">
        <f>SUM(H6:H15)</f>
        <v>7408</v>
      </c>
    </row>
    <row r="17" spans="2:8">
      <c r="B17" s="3" t="s">
        <v>195</v>
      </c>
      <c r="F17" s="35">
        <v>-1852</v>
      </c>
      <c r="G17" s="35">
        <v>-2064</v>
      </c>
      <c r="H17" s="35">
        <v>-2112</v>
      </c>
    </row>
    <row r="18" spans="2:8" ht="13" customHeight="1">
      <c r="B18" s="39" t="s">
        <v>196</v>
      </c>
      <c r="C18" s="38"/>
      <c r="D18" s="38"/>
      <c r="E18" s="38"/>
      <c r="F18" s="37">
        <f>F16+F17</f>
        <v>9747</v>
      </c>
      <c r="G18" s="37">
        <f>G16+G17</f>
        <v>4741</v>
      </c>
      <c r="H18" s="37">
        <f>H16+H17</f>
        <v>5296</v>
      </c>
    </row>
    <row r="19" spans="2:8">
      <c r="B19" s="3" t="s">
        <v>197</v>
      </c>
      <c r="C19" s="3" t="s">
        <v>198</v>
      </c>
      <c r="F19" s="41">
        <v>0</v>
      </c>
      <c r="G19" s="35">
        <v>6000</v>
      </c>
      <c r="H19" s="41">
        <v>0</v>
      </c>
    </row>
    <row r="20" spans="2:8">
      <c r="B20" s="3" t="s">
        <v>199</v>
      </c>
      <c r="C20" s="3" t="s">
        <v>198</v>
      </c>
      <c r="F20" s="41">
        <v>0</v>
      </c>
      <c r="G20" s="41">
        <v>0</v>
      </c>
      <c r="H20" s="35">
        <v>6100</v>
      </c>
    </row>
    <row r="21" spans="2:8" ht="13" customHeight="1">
      <c r="B21" s="40" t="s">
        <v>200</v>
      </c>
      <c r="C21" s="38"/>
      <c r="D21" s="38"/>
      <c r="E21" s="38"/>
      <c r="F21" s="37">
        <f>F18+F19+F20</f>
        <v>9747</v>
      </c>
      <c r="G21" s="37">
        <f>G18+G19+G20</f>
        <v>10741</v>
      </c>
      <c r="H21" s="37">
        <f>H18+H19+H20</f>
        <v>11396</v>
      </c>
    </row>
    <row r="22" spans="2:8" ht="13" customHeight="1">
      <c r="B22" s="31" t="s">
        <v>201</v>
      </c>
      <c r="F22" s="56">
        <f>F21/IS!F6</f>
        <v>0.21303055470559951</v>
      </c>
      <c r="G22" s="56">
        <f>G21/IS!G6</f>
        <v>0.2282356940991479</v>
      </c>
      <c r="H22" s="56">
        <f>H21/IS!H6</f>
        <v>0.23770885046202625</v>
      </c>
    </row>
    <row r="23" spans="2:8">
      <c r="F23" s="28"/>
      <c r="G23" s="28"/>
      <c r="H23" s="28"/>
    </row>
    <row r="24" spans="2:8" ht="13" customHeight="1">
      <c r="B24" s="31" t="s">
        <v>202</v>
      </c>
      <c r="F24" s="32">
        <f>F7/IS!F6</f>
        <v>2.4653582200463348E-2</v>
      </c>
      <c r="G24" s="32">
        <f>G7/IS!G6</f>
        <v>2.2842693525424448E-2</v>
      </c>
      <c r="H24" s="32">
        <f>H7/IS!H6</f>
        <v>2.1901921111366053E-2</v>
      </c>
    </row>
    <row r="25" spans="2:8" ht="13" customHeight="1">
      <c r="B25" s="31" t="s">
        <v>203</v>
      </c>
      <c r="F25" s="32">
        <f>-F17/IS!F6</f>
        <v>4.0477335314945143E-2</v>
      </c>
      <c r="G25" s="32">
        <f>-G17/IS!G6</f>
        <v>4.3857971568814942E-2</v>
      </c>
      <c r="H25" s="32">
        <f>-H17/IS!H6</f>
        <v>4.4054149892576291E-2</v>
      </c>
    </row>
    <row r="26" spans="2:8" ht="13" customHeight="1">
      <c r="B26" s="31" t="s">
        <v>204</v>
      </c>
      <c r="F26" s="42">
        <f>-F17/F7</f>
        <v>1.6418439716312057</v>
      </c>
      <c r="G26" s="42">
        <f>-G17/G7</f>
        <v>1.92</v>
      </c>
      <c r="H26" s="42">
        <f>-H17/H7</f>
        <v>2.0114285714285716</v>
      </c>
    </row>
    <row r="28" spans="2:8" ht="13" customHeight="1">
      <c r="B28" s="5" t="s">
        <v>182</v>
      </c>
    </row>
    <row r="29" spans="2:8">
      <c r="B29" s="3" t="s">
        <v>97</v>
      </c>
      <c r="F29" s="35">
        <v>11599</v>
      </c>
      <c r="G29" s="35">
        <v>6805</v>
      </c>
      <c r="H29" s="35">
        <v>7408</v>
      </c>
    </row>
    <row r="31" spans="2:8" ht="13" customHeight="1">
      <c r="B31" s="5" t="s">
        <v>189</v>
      </c>
    </row>
    <row r="32" spans="2:8">
      <c r="B32" s="3" t="s">
        <v>97</v>
      </c>
      <c r="F32" s="28">
        <f>F16-F29</f>
        <v>0</v>
      </c>
      <c r="G32" s="28">
        <f>G16-G29</f>
        <v>0</v>
      </c>
      <c r="H32" s="28">
        <f>H16-H29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61"/>
  <sheetViews>
    <sheetView showGridLines="0" zoomScale="113" zoomScaleNormal="80" workbookViewId="0">
      <selection activeCell="C30" sqref="C30"/>
    </sheetView>
  </sheetViews>
  <sheetFormatPr defaultColWidth="10.83203125" defaultRowHeight="12.5"/>
  <cols>
    <col min="1" max="1" width="2.83203125" style="3" customWidth="1"/>
    <col min="2" max="2" width="66.1640625" style="3" bestFit="1" customWidth="1"/>
    <col min="3" max="3" width="10.83203125" style="3" customWidth="1"/>
    <col min="4" max="8" width="11.83203125" style="3" customWidth="1"/>
    <col min="9" max="15" width="10.83203125" style="3" customWidth="1"/>
    <col min="16" max="16384" width="10.83203125" style="3"/>
  </cols>
  <sheetData>
    <row r="1" spans="2:8" ht="13" customHeight="1">
      <c r="B1" s="5" t="s">
        <v>191</v>
      </c>
    </row>
    <row r="2" spans="2:8">
      <c r="B2" s="3" t="s">
        <v>205</v>
      </c>
    </row>
    <row r="3" spans="2:8">
      <c r="B3" s="3" t="s">
        <v>193</v>
      </c>
    </row>
    <row r="5" spans="2:8" ht="13" customHeight="1">
      <c r="B5" s="5" t="s">
        <v>165</v>
      </c>
      <c r="D5" s="29">
        <v>2021</v>
      </c>
      <c r="E5" s="30">
        <f>D5+1</f>
        <v>2022</v>
      </c>
      <c r="F5" s="30">
        <f>E5+1</f>
        <v>2023</v>
      </c>
      <c r="G5" s="30">
        <f>F5+1</f>
        <v>2024</v>
      </c>
      <c r="H5" s="30">
        <f>G5+1</f>
        <v>2025</v>
      </c>
    </row>
    <row r="6" spans="2:8" ht="13" customHeight="1">
      <c r="B6" s="5" t="s">
        <v>127</v>
      </c>
      <c r="F6" s="47"/>
      <c r="G6" s="47"/>
      <c r="H6" s="47"/>
    </row>
    <row r="7" spans="2:8">
      <c r="B7" s="3" t="s">
        <v>123</v>
      </c>
      <c r="F7" s="41">
        <v>9366</v>
      </c>
      <c r="G7" s="41">
        <v>10828</v>
      </c>
      <c r="H7" s="41">
        <v>10270</v>
      </c>
    </row>
    <row r="8" spans="2:8">
      <c r="B8" s="3" t="s">
        <v>128</v>
      </c>
      <c r="F8" s="41">
        <v>2997</v>
      </c>
      <c r="G8" s="41">
        <v>2020</v>
      </c>
      <c r="H8" s="41">
        <v>3602</v>
      </c>
    </row>
    <row r="9" spans="2:8" ht="13" customHeight="1">
      <c r="B9" s="40" t="s">
        <v>129</v>
      </c>
      <c r="C9" s="38"/>
      <c r="D9" s="38"/>
      <c r="E9" s="38"/>
      <c r="F9" s="48">
        <f>SUM(F7:F8)</f>
        <v>12363</v>
      </c>
      <c r="G9" s="48">
        <f>SUM(G7:G8)</f>
        <v>12848</v>
      </c>
      <c r="H9" s="48">
        <f>SUM(H7:H8)</f>
        <v>13872</v>
      </c>
    </row>
    <row r="10" spans="2:8">
      <c r="B10" s="3" t="s">
        <v>130</v>
      </c>
      <c r="F10" s="41">
        <v>1300</v>
      </c>
      <c r="G10" s="41">
        <v>1723</v>
      </c>
      <c r="H10" s="41">
        <v>1934</v>
      </c>
    </row>
    <row r="11" spans="2:8">
      <c r="B11" s="3" t="s">
        <v>206</v>
      </c>
      <c r="F11" s="41">
        <v>3410</v>
      </c>
      <c r="G11" s="41">
        <v>3569</v>
      </c>
      <c r="H11" s="41">
        <v>3038</v>
      </c>
    </row>
    <row r="12" spans="2:8">
      <c r="B12" s="3" t="s">
        <v>132</v>
      </c>
      <c r="F12" s="41">
        <v>4424</v>
      </c>
      <c r="G12" s="41">
        <v>4728</v>
      </c>
      <c r="H12" s="41">
        <v>4425</v>
      </c>
    </row>
    <row r="13" spans="2:8">
      <c r="B13" s="3" t="s">
        <v>133</v>
      </c>
      <c r="F13" s="41">
        <v>5235</v>
      </c>
      <c r="G13" s="41">
        <v>2998</v>
      </c>
      <c r="H13" s="41">
        <v>2433</v>
      </c>
    </row>
    <row r="14" spans="2:8">
      <c r="B14" s="3" t="s">
        <v>134</v>
      </c>
      <c r="F14" s="41">
        <v>0</v>
      </c>
      <c r="G14" s="41">
        <v>131</v>
      </c>
      <c r="H14" s="41">
        <v>5342</v>
      </c>
    </row>
    <row r="15" spans="2:8" ht="13" customHeight="1">
      <c r="B15" s="40" t="s">
        <v>135</v>
      </c>
      <c r="C15" s="38"/>
      <c r="D15" s="38"/>
      <c r="E15" s="38"/>
      <c r="F15" s="48">
        <f>SUM(F9:F14)</f>
        <v>26732</v>
      </c>
      <c r="G15" s="48">
        <f>SUM(G9:G14)</f>
        <v>25997</v>
      </c>
      <c r="H15" s="48">
        <f>SUM(H9:H14)</f>
        <v>31044</v>
      </c>
    </row>
    <row r="16" spans="2:8">
      <c r="B16" s="3" t="s">
        <v>136</v>
      </c>
      <c r="F16" s="41">
        <v>19671</v>
      </c>
      <c r="G16" s="41">
        <v>18087</v>
      </c>
      <c r="H16" s="41">
        <v>20235</v>
      </c>
    </row>
    <row r="17" spans="2:8">
      <c r="B17" s="3" t="s">
        <v>137</v>
      </c>
      <c r="F17" s="41">
        <v>1561</v>
      </c>
      <c r="G17" s="41">
        <v>1319</v>
      </c>
      <c r="H17" s="41">
        <v>1206</v>
      </c>
    </row>
    <row r="18" spans="2:8">
      <c r="B18" s="3" t="s">
        <v>207</v>
      </c>
      <c r="F18" s="41">
        <v>9236</v>
      </c>
      <c r="G18" s="41">
        <v>10303</v>
      </c>
      <c r="H18" s="41">
        <v>9613</v>
      </c>
    </row>
    <row r="19" spans="2:8">
      <c r="B19" s="3" t="s">
        <v>139</v>
      </c>
      <c r="F19" s="41">
        <v>14349</v>
      </c>
      <c r="G19" s="41">
        <v>13301</v>
      </c>
      <c r="H19" s="41">
        <v>12531</v>
      </c>
    </row>
    <row r="20" spans="2:8">
      <c r="B20" s="3" t="s">
        <v>140</v>
      </c>
      <c r="F20" s="41">
        <v>18358</v>
      </c>
      <c r="G20" s="41">
        <v>18139</v>
      </c>
      <c r="H20" s="41">
        <v>15491</v>
      </c>
    </row>
    <row r="21" spans="2:8">
      <c r="B21" s="3" t="s">
        <v>141</v>
      </c>
      <c r="F21" s="41">
        <v>7796</v>
      </c>
      <c r="G21" s="41">
        <v>13403</v>
      </c>
      <c r="H21" s="41">
        <v>14696</v>
      </c>
    </row>
    <row r="22" spans="2:8" ht="13" customHeight="1">
      <c r="B22" s="40" t="s">
        <v>142</v>
      </c>
      <c r="C22" s="38"/>
      <c r="D22" s="38"/>
      <c r="E22" s="38"/>
      <c r="F22" s="48">
        <f>SUM(F15:F21)</f>
        <v>97703</v>
      </c>
      <c r="G22" s="48">
        <f>SUM(G15:G21)</f>
        <v>100549</v>
      </c>
      <c r="H22" s="48">
        <f>SUM(H15:H21)</f>
        <v>104816</v>
      </c>
    </row>
    <row r="23" spans="2:8" ht="13" customHeight="1">
      <c r="B23" s="5" t="s">
        <v>143</v>
      </c>
      <c r="F23" s="41"/>
      <c r="G23" s="41"/>
      <c r="H23" s="41"/>
    </row>
    <row r="24" spans="2:8">
      <c r="B24" s="3" t="s">
        <v>144</v>
      </c>
      <c r="F24" s="41">
        <v>15485</v>
      </c>
      <c r="G24" s="41">
        <v>21712</v>
      </c>
      <c r="H24" s="41">
        <v>14813</v>
      </c>
    </row>
    <row r="25" spans="2:8">
      <c r="B25" s="3" t="s">
        <v>145</v>
      </c>
      <c r="F25" s="41">
        <v>4557</v>
      </c>
      <c r="G25" s="41">
        <v>1499</v>
      </c>
      <c r="H25" s="41">
        <v>1551</v>
      </c>
    </row>
    <row r="26" spans="2:8">
      <c r="B26" s="3" t="s">
        <v>146</v>
      </c>
      <c r="F26" s="41">
        <v>1960</v>
      </c>
      <c r="G26" s="41">
        <v>648</v>
      </c>
      <c r="H26" s="41">
        <v>1822</v>
      </c>
    </row>
    <row r="27" spans="2:8">
      <c r="B27" s="3" t="s">
        <v>147</v>
      </c>
      <c r="F27" s="41">
        <v>1569</v>
      </c>
      <c r="G27" s="41">
        <v>1387</v>
      </c>
      <c r="H27" s="41">
        <v>525</v>
      </c>
    </row>
    <row r="28" spans="2:8">
      <c r="B28" s="3" t="s">
        <v>148</v>
      </c>
      <c r="F28" s="41">
        <v>0</v>
      </c>
      <c r="G28" s="41">
        <v>3</v>
      </c>
      <c r="H28" s="41">
        <v>2570</v>
      </c>
    </row>
    <row r="29" spans="2:8" ht="13" customHeight="1">
      <c r="B29" s="40" t="s">
        <v>149</v>
      </c>
      <c r="C29" s="40"/>
      <c r="D29" s="40"/>
      <c r="E29" s="40"/>
      <c r="F29" s="48">
        <f>SUM(F24:F28)</f>
        <v>23571</v>
      </c>
      <c r="G29" s="48">
        <f>SUM(G24:G28)</f>
        <v>25249</v>
      </c>
      <c r="H29" s="48">
        <f>SUM(H24:H28)</f>
        <v>21281</v>
      </c>
    </row>
    <row r="30" spans="2:8">
      <c r="B30" s="3" t="s">
        <v>150</v>
      </c>
      <c r="F30" s="41">
        <v>35547</v>
      </c>
      <c r="G30" s="41">
        <v>42375</v>
      </c>
      <c r="H30" s="41">
        <v>42119</v>
      </c>
    </row>
    <row r="31" spans="2:8">
      <c r="B31" s="3" t="s">
        <v>151</v>
      </c>
      <c r="F31" s="41">
        <v>8466</v>
      </c>
      <c r="G31" s="41">
        <v>4084</v>
      </c>
      <c r="H31" s="41">
        <v>4735</v>
      </c>
    </row>
    <row r="32" spans="2:8">
      <c r="B32" s="3" t="s">
        <v>152</v>
      </c>
      <c r="F32" s="41">
        <v>2639</v>
      </c>
      <c r="G32" s="41">
        <v>2469</v>
      </c>
      <c r="H32" s="41">
        <v>2406</v>
      </c>
    </row>
    <row r="33" spans="2:8" ht="13" customHeight="1">
      <c r="B33" s="40" t="s">
        <v>208</v>
      </c>
      <c r="C33" s="38"/>
      <c r="D33" s="38"/>
      <c r="E33" s="38"/>
      <c r="F33" s="48">
        <f>SUM(F29:F32)</f>
        <v>70223</v>
      </c>
      <c r="G33" s="48">
        <f>SUM(G29:G32)</f>
        <v>74177</v>
      </c>
      <c r="H33" s="48">
        <f>SUM(H29:H32)</f>
        <v>70541</v>
      </c>
    </row>
    <row r="34" spans="2:8" ht="13" customHeight="1">
      <c r="B34" s="5" t="s">
        <v>209</v>
      </c>
      <c r="F34" s="41"/>
      <c r="G34" s="41"/>
      <c r="H34" s="41"/>
    </row>
    <row r="35" spans="2:8">
      <c r="B35" s="3" t="s">
        <v>210</v>
      </c>
      <c r="F35" s="41">
        <v>1760</v>
      </c>
      <c r="G35" s="41">
        <v>1760</v>
      </c>
      <c r="H35" s="41">
        <v>1760</v>
      </c>
    </row>
    <row r="36" spans="2:8">
      <c r="B36" s="3" t="s">
        <v>155</v>
      </c>
      <c r="F36" s="41">
        <v>19209</v>
      </c>
      <c r="G36" s="41">
        <v>19801</v>
      </c>
      <c r="H36" s="41">
        <v>20581</v>
      </c>
    </row>
    <row r="37" spans="2:8">
      <c r="B37" s="3" t="s">
        <v>156</v>
      </c>
      <c r="F37" s="41">
        <v>73782</v>
      </c>
      <c r="G37" s="41">
        <v>76054</v>
      </c>
      <c r="H37" s="41">
        <v>80382</v>
      </c>
    </row>
    <row r="38" spans="2:8">
      <c r="B38" s="3" t="s">
        <v>157</v>
      </c>
      <c r="F38" s="41">
        <v>-14275</v>
      </c>
      <c r="G38" s="41">
        <v>-16843</v>
      </c>
      <c r="H38" s="41">
        <v>-14131</v>
      </c>
    </row>
    <row r="39" spans="2:8">
      <c r="B39" s="3" t="s">
        <v>211</v>
      </c>
      <c r="F39" s="41">
        <v>-54535</v>
      </c>
      <c r="G39" s="41">
        <v>-55916</v>
      </c>
      <c r="H39" s="41">
        <v>-56423</v>
      </c>
    </row>
    <row r="40" spans="2:8" ht="13" customHeight="1">
      <c r="B40" s="5" t="s">
        <v>212</v>
      </c>
      <c r="F40" s="57">
        <f>SUM(F35:F39)</f>
        <v>25941</v>
      </c>
      <c r="G40" s="57">
        <f>SUM(G35:G39)</f>
        <v>24856</v>
      </c>
      <c r="H40" s="57">
        <f>SUM(H35:H39)</f>
        <v>32169</v>
      </c>
    </row>
    <row r="41" spans="2:8">
      <c r="B41" s="3" t="s">
        <v>213</v>
      </c>
      <c r="F41" s="41">
        <v>1539</v>
      </c>
      <c r="G41" s="41">
        <v>1516</v>
      </c>
      <c r="H41" s="41">
        <v>2106</v>
      </c>
    </row>
    <row r="42" spans="2:8" ht="13" customHeight="1">
      <c r="B42" s="40" t="s">
        <v>161</v>
      </c>
      <c r="C42" s="38"/>
      <c r="D42" s="38"/>
      <c r="E42" s="38"/>
      <c r="F42" s="48">
        <f>SUM(F40,F41)</f>
        <v>27480</v>
      </c>
      <c r="G42" s="48">
        <f>SUM(G40,G41)</f>
        <v>26372</v>
      </c>
      <c r="H42" s="48">
        <f>SUM(H40,H41)</f>
        <v>34275</v>
      </c>
    </row>
    <row r="43" spans="2:8" ht="13" customHeight="1">
      <c r="B43" s="40" t="s">
        <v>162</v>
      </c>
      <c r="C43" s="40"/>
      <c r="D43" s="40"/>
      <c r="E43" s="40"/>
      <c r="F43" s="48">
        <f>F33+F42</f>
        <v>97703</v>
      </c>
      <c r="G43" s="48">
        <f>G33+G42</f>
        <v>100549</v>
      </c>
      <c r="H43" s="48">
        <f>H33+H42</f>
        <v>104816</v>
      </c>
    </row>
    <row r="44" spans="2:8">
      <c r="F44" s="47"/>
      <c r="G44" s="47"/>
      <c r="H44" s="47"/>
    </row>
    <row r="45" spans="2:8">
      <c r="F45" s="47"/>
      <c r="G45" s="47"/>
      <c r="H45" s="47"/>
    </row>
    <row r="46" spans="2:8" ht="13" customHeight="1">
      <c r="B46" s="5" t="s">
        <v>182</v>
      </c>
      <c r="F46" s="47"/>
      <c r="G46" s="47"/>
      <c r="H46" s="47"/>
    </row>
    <row r="47" spans="2:8">
      <c r="B47" s="58" t="s">
        <v>214</v>
      </c>
      <c r="F47" s="41">
        <v>12363</v>
      </c>
      <c r="G47" s="41">
        <v>12848</v>
      </c>
      <c r="H47" s="41">
        <v>13872</v>
      </c>
    </row>
    <row r="48" spans="2:8">
      <c r="B48" s="58" t="s">
        <v>215</v>
      </c>
      <c r="F48" s="41">
        <v>26732</v>
      </c>
      <c r="G48" s="41">
        <v>25997</v>
      </c>
      <c r="H48" s="41">
        <v>31044</v>
      </c>
    </row>
    <row r="49" spans="2:8">
      <c r="B49" s="58" t="s">
        <v>216</v>
      </c>
      <c r="F49" s="41">
        <v>97703</v>
      </c>
      <c r="G49" s="41">
        <v>100549</v>
      </c>
      <c r="H49" s="41">
        <v>104816</v>
      </c>
    </row>
    <row r="50" spans="2:8" ht="13" customHeight="1">
      <c r="B50" s="58" t="s">
        <v>217</v>
      </c>
      <c r="C50" s="5"/>
      <c r="D50" s="5"/>
      <c r="E50" s="5"/>
      <c r="F50" s="41">
        <v>23571</v>
      </c>
      <c r="G50" s="41">
        <v>25249</v>
      </c>
      <c r="H50" s="41">
        <v>21281</v>
      </c>
    </row>
    <row r="51" spans="2:8">
      <c r="B51" s="58" t="s">
        <v>218</v>
      </c>
      <c r="F51" s="41">
        <v>25941</v>
      </c>
      <c r="G51" s="41">
        <v>24856</v>
      </c>
      <c r="H51" s="41">
        <v>32169</v>
      </c>
    </row>
    <row r="52" spans="2:8" ht="13" customHeight="1">
      <c r="B52" s="58" t="s">
        <v>219</v>
      </c>
      <c r="C52" s="5"/>
      <c r="D52" s="5"/>
      <c r="E52" s="5"/>
      <c r="F52" s="41">
        <v>27480</v>
      </c>
      <c r="G52" s="41">
        <v>26372</v>
      </c>
      <c r="H52" s="41">
        <v>34275</v>
      </c>
    </row>
    <row r="53" spans="2:8" ht="13" customHeight="1">
      <c r="B53" s="58" t="s">
        <v>220</v>
      </c>
      <c r="C53" s="5"/>
      <c r="D53" s="5"/>
      <c r="E53" s="5"/>
      <c r="F53" s="41">
        <v>97703</v>
      </c>
      <c r="G53" s="41">
        <v>100549</v>
      </c>
      <c r="H53" s="41">
        <v>104816</v>
      </c>
    </row>
    <row r="55" spans="2:8" ht="13" customHeight="1">
      <c r="B55" s="5" t="s">
        <v>189</v>
      </c>
      <c r="F55" s="47"/>
      <c r="G55" s="47"/>
      <c r="H55" s="47"/>
    </row>
    <row r="56" spans="2:8">
      <c r="B56" s="3" t="s">
        <v>221</v>
      </c>
      <c r="F56" s="47">
        <f>F48-F15</f>
        <v>0</v>
      </c>
      <c r="G56" s="47">
        <f>G48-G15</f>
        <v>0</v>
      </c>
      <c r="H56" s="47">
        <f>H48-H15</f>
        <v>0</v>
      </c>
    </row>
    <row r="57" spans="2:8">
      <c r="B57" s="3" t="s">
        <v>222</v>
      </c>
      <c r="F57" s="47">
        <f>F49-F22</f>
        <v>0</v>
      </c>
      <c r="G57" s="47">
        <f>G49-G22</f>
        <v>0</v>
      </c>
      <c r="H57" s="47">
        <f>H49-H22</f>
        <v>0</v>
      </c>
    </row>
    <row r="58" spans="2:8">
      <c r="B58" s="3" t="s">
        <v>223</v>
      </c>
      <c r="F58" s="47">
        <f>F50-F29</f>
        <v>0</v>
      </c>
      <c r="G58" s="47">
        <f>G50-G29</f>
        <v>0</v>
      </c>
      <c r="H58" s="47">
        <f>H50-H29</f>
        <v>0</v>
      </c>
    </row>
    <row r="59" spans="2:8">
      <c r="B59" s="3" t="s">
        <v>224</v>
      </c>
      <c r="F59" s="47">
        <f>F52-F42</f>
        <v>0</v>
      </c>
      <c r="G59" s="47">
        <f>G52-G42</f>
        <v>0</v>
      </c>
      <c r="H59" s="47">
        <f>H52-H42</f>
        <v>0</v>
      </c>
    </row>
    <row r="60" spans="2:8">
      <c r="B60" s="3" t="s">
        <v>212</v>
      </c>
      <c r="F60" s="47">
        <f>F51-F40</f>
        <v>0</v>
      </c>
      <c r="G60" s="47">
        <f>G51-G40</f>
        <v>0</v>
      </c>
      <c r="H60" s="47">
        <f>H51-H40</f>
        <v>0</v>
      </c>
    </row>
    <row r="61" spans="2:8">
      <c r="B61" s="58" t="s">
        <v>225</v>
      </c>
      <c r="F61" s="59">
        <f>F22-F43</f>
        <v>0</v>
      </c>
      <c r="G61" s="59">
        <f>G22-G43</f>
        <v>0</v>
      </c>
      <c r="H61" s="59">
        <f>H22-H43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23"/>
  <sheetViews>
    <sheetView showGridLines="0" zoomScale="161" workbookViewId="0">
      <selection activeCell="B40" sqref="B40"/>
    </sheetView>
  </sheetViews>
  <sheetFormatPr defaultColWidth="10.83203125" defaultRowHeight="12.5"/>
  <cols>
    <col min="1" max="1" width="2.83203125" style="3" customWidth="1"/>
    <col min="2" max="2" width="45.83203125" style="3" customWidth="1"/>
    <col min="3" max="3" width="20.83203125" style="3" bestFit="1" customWidth="1"/>
    <col min="4" max="8" width="11.83203125" style="3" customWidth="1"/>
    <col min="9" max="15" width="10.83203125" style="3" customWidth="1"/>
    <col min="16" max="16384" width="10.83203125" style="3"/>
  </cols>
  <sheetData>
    <row r="1" spans="2:8" ht="13" customHeight="1">
      <c r="B1" s="21" t="s">
        <v>191</v>
      </c>
      <c r="C1" s="20"/>
      <c r="D1" s="20"/>
      <c r="E1" s="20"/>
      <c r="F1" s="20"/>
      <c r="G1" s="20"/>
      <c r="H1" s="20"/>
    </row>
    <row r="2" spans="2:8">
      <c r="B2" s="20" t="s">
        <v>226</v>
      </c>
      <c r="C2" s="20"/>
      <c r="D2" s="20"/>
      <c r="E2" s="20"/>
      <c r="F2" s="20"/>
      <c r="G2" s="20"/>
      <c r="H2" s="20"/>
    </row>
    <row r="3" spans="2:8">
      <c r="B3" s="20" t="s">
        <v>193</v>
      </c>
      <c r="C3" s="20"/>
      <c r="D3" s="20"/>
      <c r="E3" s="20"/>
      <c r="F3" s="20"/>
      <c r="G3" s="20"/>
      <c r="H3" s="20"/>
    </row>
    <row r="4" spans="2:8">
      <c r="B4" s="20"/>
      <c r="C4" s="20"/>
      <c r="D4" s="20"/>
      <c r="E4" s="20"/>
      <c r="F4" s="20"/>
      <c r="G4" s="20"/>
      <c r="H4" s="20"/>
    </row>
    <row r="5" spans="2:8" ht="13" customHeight="1">
      <c r="B5" s="21" t="s">
        <v>165</v>
      </c>
      <c r="C5" s="20"/>
      <c r="D5" s="29">
        <v>2021</v>
      </c>
      <c r="E5" s="49">
        <f>D5+1</f>
        <v>2022</v>
      </c>
      <c r="F5" s="49">
        <f>E5+1</f>
        <v>2023</v>
      </c>
      <c r="G5" s="49">
        <f>F5+1</f>
        <v>2024</v>
      </c>
      <c r="H5" s="49">
        <f>G5+1</f>
        <v>2025</v>
      </c>
    </row>
    <row r="6" spans="2:8">
      <c r="B6" s="20" t="s">
        <v>206</v>
      </c>
      <c r="F6" s="142">
        <f>BS!F11</f>
        <v>3410</v>
      </c>
      <c r="G6" s="142">
        <f>BS!G11</f>
        <v>3569</v>
      </c>
      <c r="H6" s="142">
        <f>BS!H11</f>
        <v>3038</v>
      </c>
    </row>
    <row r="7" spans="2:8">
      <c r="B7" s="20" t="s">
        <v>132</v>
      </c>
      <c r="F7" s="142">
        <f>BS!F12</f>
        <v>4424</v>
      </c>
      <c r="G7" s="142">
        <f>BS!G12</f>
        <v>4728</v>
      </c>
      <c r="H7" s="142">
        <f>BS!H12</f>
        <v>4425</v>
      </c>
    </row>
    <row r="8" spans="2:8">
      <c r="B8" s="20" t="s">
        <v>133</v>
      </c>
      <c r="F8" s="142">
        <f>BS!F13</f>
        <v>5235</v>
      </c>
      <c r="G8" s="142">
        <f>BS!G13</f>
        <v>2998</v>
      </c>
      <c r="H8" s="142">
        <f>BS!H13</f>
        <v>2433</v>
      </c>
    </row>
    <row r="9" spans="2:8">
      <c r="B9" s="20" t="s">
        <v>227</v>
      </c>
      <c r="F9" s="142">
        <f>BS!F24</f>
        <v>15485</v>
      </c>
      <c r="G9" s="142">
        <f>BS!G24</f>
        <v>21712</v>
      </c>
      <c r="H9" s="142">
        <f>BS!H24</f>
        <v>14813</v>
      </c>
    </row>
    <row r="10" spans="2:8" ht="16" customHeight="1">
      <c r="B10" s="20" t="s">
        <v>228</v>
      </c>
      <c r="C10" s="78" t="s">
        <v>229</v>
      </c>
      <c r="F10" s="77">
        <v>0</v>
      </c>
      <c r="G10" s="143">
        <v>6126</v>
      </c>
      <c r="H10" s="77">
        <v>0</v>
      </c>
    </row>
    <row r="11" spans="2:8" ht="13" customHeight="1">
      <c r="B11" s="52" t="s">
        <v>230</v>
      </c>
      <c r="C11" s="38"/>
      <c r="D11" s="38"/>
      <c r="E11" s="38"/>
      <c r="F11" s="48">
        <f>SUM(F6:F8)-F9+F10</f>
        <v>-2416</v>
      </c>
      <c r="G11" s="48">
        <f>SUM(G6:G8)-G9+G10</f>
        <v>-4291</v>
      </c>
      <c r="H11" s="48">
        <f>SUM(H6:H8)-H9+H10</f>
        <v>-4917</v>
      </c>
    </row>
    <row r="12" spans="2:8" ht="13" customHeight="1">
      <c r="B12" s="60" t="s">
        <v>171</v>
      </c>
      <c r="F12" s="56">
        <f>F11/IS!F6</f>
        <v>-5.2804126415176816E-2</v>
      </c>
      <c r="G12" s="56">
        <f>G11/IS!G6</f>
        <v>-9.1179532946601222E-2</v>
      </c>
      <c r="H12" s="56">
        <f>H11/IS!H6</f>
        <v>-0.10256356771865417</v>
      </c>
    </row>
    <row r="13" spans="2:8">
      <c r="B13" s="20" t="s">
        <v>231</v>
      </c>
      <c r="G13" s="47">
        <f>F11-G11</f>
        <v>1875</v>
      </c>
      <c r="H13" s="47">
        <f>G11-H11</f>
        <v>626</v>
      </c>
    </row>
    <row r="15" spans="2:8" ht="13" customHeight="1">
      <c r="B15" s="5" t="s">
        <v>232</v>
      </c>
    </row>
    <row r="16" spans="2:8" ht="13" customHeight="1">
      <c r="B16" s="31" t="s">
        <v>233</v>
      </c>
      <c r="C16" s="4"/>
      <c r="D16" s="4"/>
      <c r="E16" s="4"/>
      <c r="F16" s="53">
        <f>F6/IS!F6*365</f>
        <v>27.203086068977576</v>
      </c>
      <c r="G16" s="53">
        <f>G6/IS!G6*365</f>
        <v>27.680776014109345</v>
      </c>
      <c r="H16" s="53">
        <f>H6/IS!H6*365</f>
        <v>23.129888821676644</v>
      </c>
    </row>
    <row r="17" spans="2:8" ht="13" customHeight="1">
      <c r="B17" s="31" t="s">
        <v>234</v>
      </c>
      <c r="C17" s="4"/>
      <c r="D17" s="4"/>
      <c r="E17" s="4"/>
      <c r="F17" s="53">
        <f>F7/IS!F8*365</f>
        <v>87.190064794816408</v>
      </c>
      <c r="G17" s="53">
        <f>G7/IS!G8*365</f>
        <v>94.1781270464964</v>
      </c>
      <c r="H17" s="53">
        <f>H7/IS!H8*365</f>
        <v>87.792846659781489</v>
      </c>
    </row>
    <row r="18" spans="2:8" ht="13" customHeight="1">
      <c r="B18" s="31" t="s">
        <v>235</v>
      </c>
      <c r="C18" s="4"/>
      <c r="D18" s="4"/>
      <c r="E18" s="4"/>
      <c r="F18" s="53">
        <f>(F9-F10)/IS!F8*365</f>
        <v>305.18493520518359</v>
      </c>
      <c r="G18" s="53">
        <f>(G9-G10)/IS!G8*365</f>
        <v>310.46114385505348</v>
      </c>
      <c r="H18" s="53">
        <f>(H9-H10)/IS!H8*365</f>
        <v>293.89275425341089</v>
      </c>
    </row>
    <row r="19" spans="2:8" ht="13" customHeight="1">
      <c r="B19" s="31" t="s">
        <v>236</v>
      </c>
      <c r="F19" s="54">
        <f>F8/IS!F6</f>
        <v>0.11441622590374612</v>
      </c>
      <c r="G19" s="54">
        <f>G8/IS!G6</f>
        <v>6.3704553664393024E-2</v>
      </c>
      <c r="H19" s="54">
        <f>H8/IS!H6</f>
        <v>5.0749880060908199E-2</v>
      </c>
    </row>
    <row r="20" spans="2:8" ht="13" customHeight="1">
      <c r="B20" s="60" t="s">
        <v>237</v>
      </c>
      <c r="F20" s="61">
        <f>F16+F17-F18</f>
        <v>-190.79178434138962</v>
      </c>
      <c r="G20" s="61">
        <f>G16+G17-G18</f>
        <v>-188.60224079444774</v>
      </c>
      <c r="H20" s="61">
        <f>H16+H17-H18</f>
        <v>-182.97001877195277</v>
      </c>
    </row>
    <row r="22" spans="2:8">
      <c r="B22" s="3" t="s">
        <v>189</v>
      </c>
    </row>
    <row r="23" spans="2:8">
      <c r="B23" s="20" t="s">
        <v>238</v>
      </c>
      <c r="F23" s="79">
        <f>F11-(BS!F11+BS!F12+BS!F13-BS!F24+F10)</f>
        <v>0</v>
      </c>
      <c r="G23" s="62">
        <f>G11-(BS!G11+BS!G12+BS!G13-BS!G24+G10)</f>
        <v>0</v>
      </c>
      <c r="H23" s="62">
        <f>H11-(BS!H11+BS!H12+BS!H13-BS!H24+H10)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16"/>
  <sheetViews>
    <sheetView showGridLines="0" workbookViewId="0">
      <selection activeCell="B1" sqref="B1:B3"/>
    </sheetView>
  </sheetViews>
  <sheetFormatPr defaultColWidth="10.83203125" defaultRowHeight="12.5"/>
  <cols>
    <col min="1" max="1" width="2.83203125" style="3" customWidth="1"/>
    <col min="2" max="2" width="45.83203125" style="3" customWidth="1"/>
    <col min="3" max="9" width="10.83203125" style="3" customWidth="1"/>
    <col min="10" max="16384" width="10.83203125" style="3"/>
  </cols>
  <sheetData>
    <row r="1" spans="2:8" ht="13" customHeight="1">
      <c r="B1" s="21" t="s">
        <v>191</v>
      </c>
      <c r="C1" s="20"/>
      <c r="D1" s="20"/>
      <c r="E1" s="20"/>
      <c r="F1" s="20"/>
      <c r="G1" s="20"/>
      <c r="H1" s="20"/>
    </row>
    <row r="2" spans="2:8">
      <c r="B2" s="20" t="s">
        <v>239</v>
      </c>
      <c r="C2" s="20"/>
      <c r="D2" s="20"/>
      <c r="E2" s="20"/>
      <c r="F2" s="20"/>
      <c r="G2" s="20"/>
      <c r="H2" s="20"/>
    </row>
    <row r="3" spans="2:8">
      <c r="B3" s="20" t="s">
        <v>193</v>
      </c>
      <c r="C3" s="20"/>
      <c r="D3" s="20"/>
      <c r="E3" s="20"/>
      <c r="F3" s="20"/>
      <c r="G3" s="20"/>
      <c r="H3" s="20"/>
    </row>
    <row r="4" spans="2:8">
      <c r="B4" s="20"/>
      <c r="C4" s="20"/>
      <c r="D4" s="20"/>
      <c r="E4" s="20"/>
      <c r="F4" s="20"/>
      <c r="G4" s="20"/>
      <c r="H4" s="20"/>
    </row>
    <row r="5" spans="2:8" ht="13" customHeight="1">
      <c r="B5" s="21" t="s">
        <v>165</v>
      </c>
      <c r="C5" s="20"/>
      <c r="D5" s="29">
        <v>2021</v>
      </c>
      <c r="E5" s="49">
        <f>D5+1</f>
        <v>2022</v>
      </c>
      <c r="F5" s="49">
        <f>E5+1</f>
        <v>2023</v>
      </c>
      <c r="G5" s="49">
        <f>F5+1</f>
        <v>2024</v>
      </c>
      <c r="H5" s="49">
        <f>G5+1</f>
        <v>2025</v>
      </c>
    </row>
    <row r="6" spans="2:8">
      <c r="B6" s="20" t="s">
        <v>172</v>
      </c>
      <c r="F6" s="55">
        <f>IS!F14</f>
        <v>11311</v>
      </c>
      <c r="G6" s="55">
        <f>IS!G14</f>
        <v>9992</v>
      </c>
      <c r="H6" s="55">
        <f>IS!H14</f>
        <v>13762</v>
      </c>
    </row>
    <row r="7" spans="2:8">
      <c r="B7" s="20" t="s">
        <v>240</v>
      </c>
      <c r="F7" s="55">
        <f>IS!F13</f>
        <v>1951</v>
      </c>
      <c r="G7" s="55">
        <f>IS!G13</f>
        <v>4163</v>
      </c>
      <c r="H7" s="55">
        <f>IS!H13</f>
        <v>1261</v>
      </c>
    </row>
    <row r="8" spans="2:8" ht="13" customHeight="1">
      <c r="B8" s="21" t="s">
        <v>241</v>
      </c>
      <c r="C8" s="5"/>
      <c r="D8" s="5"/>
      <c r="E8" s="5"/>
      <c r="F8" s="34">
        <f>SUM(F6:F7)</f>
        <v>13262</v>
      </c>
      <c r="G8" s="34">
        <f>SUM(G6:G7)</f>
        <v>14155</v>
      </c>
      <c r="H8" s="34">
        <f>SUM(H6:H7)</f>
        <v>15023</v>
      </c>
    </row>
    <row r="9" spans="2:8" ht="13" customHeight="1">
      <c r="B9" s="50" t="s">
        <v>169</v>
      </c>
      <c r="F9" s="56">
        <f>F8/IS!F6</f>
        <v>0.28985443895615681</v>
      </c>
      <c r="G9" s="56">
        <f>G8/IS!G6</f>
        <v>0.30077983893244936</v>
      </c>
      <c r="H9" s="56">
        <f>H8/IS!H6</f>
        <v>0.31336434367243071</v>
      </c>
    </row>
    <row r="10" spans="2:8">
      <c r="B10" s="20" t="s">
        <v>242</v>
      </c>
      <c r="F10" s="55">
        <f>CF!F7</f>
        <v>1128</v>
      </c>
      <c r="G10" s="55">
        <f>CF!G7</f>
        <v>1075</v>
      </c>
      <c r="H10" s="55">
        <f>CF!H7</f>
        <v>1050</v>
      </c>
    </row>
    <row r="11" spans="2:8" ht="13" customHeight="1">
      <c r="B11" s="21" t="s">
        <v>243</v>
      </c>
      <c r="C11" s="5"/>
      <c r="D11" s="5"/>
      <c r="E11" s="5"/>
      <c r="F11" s="34">
        <f>F8+F10</f>
        <v>14390</v>
      </c>
      <c r="G11" s="34">
        <f>G8+G10</f>
        <v>15230</v>
      </c>
      <c r="H11" s="34">
        <f>H8+H10</f>
        <v>16073</v>
      </c>
    </row>
    <row r="12" spans="2:8" ht="13" customHeight="1">
      <c r="B12" s="50" t="s">
        <v>169</v>
      </c>
      <c r="F12" s="56">
        <f>F11/IS!F6</f>
        <v>0.31450802115662019</v>
      </c>
      <c r="G12" s="56">
        <f>G11/IS!G6</f>
        <v>0.32362253245787381</v>
      </c>
      <c r="H12" s="56">
        <f>H11/IS!H6</f>
        <v>0.33526626478379673</v>
      </c>
    </row>
    <row r="14" spans="2:8" ht="13" customHeight="1">
      <c r="B14" s="5" t="s">
        <v>244</v>
      </c>
    </row>
    <row r="15" spans="2:8">
      <c r="B15" s="58" t="s">
        <v>245</v>
      </c>
      <c r="C15" s="58" t="s">
        <v>246</v>
      </c>
      <c r="F15" s="63">
        <v>0.29099999999999998</v>
      </c>
      <c r="G15" s="63">
        <v>0.3</v>
      </c>
      <c r="H15" s="63">
        <v>0.312</v>
      </c>
    </row>
    <row r="16" spans="2:8" ht="13" customHeight="1">
      <c r="B16" s="64" t="s">
        <v>247</v>
      </c>
      <c r="F16" s="65">
        <f>F9-F15</f>
        <v>-1.1455610438431685E-3</v>
      </c>
      <c r="G16" s="65">
        <f>G9-G15</f>
        <v>7.7983893244937263E-4</v>
      </c>
      <c r="H16" s="65">
        <f>H9-H15</f>
        <v>1.3643436724307123E-3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48"/>
  <sheetViews>
    <sheetView showGridLines="0" workbookViewId="0">
      <selection activeCell="G34" sqref="G34"/>
    </sheetView>
  </sheetViews>
  <sheetFormatPr defaultColWidth="11.5" defaultRowHeight="12.5"/>
  <cols>
    <col min="1" max="1" width="2.83203125" style="3" customWidth="1"/>
    <col min="2" max="2" width="45.83203125" style="3" customWidth="1"/>
    <col min="3" max="3" width="39.6640625" style="3" customWidth="1"/>
    <col min="4" max="4" width="11.5" style="3" customWidth="1"/>
    <col min="5" max="5" width="12.5" style="3" bestFit="1" customWidth="1"/>
    <col min="6" max="14" width="11.5" style="3" customWidth="1"/>
    <col min="15" max="16384" width="11.5" style="3"/>
  </cols>
  <sheetData>
    <row r="1" spans="2:5" ht="13" customHeight="1">
      <c r="B1" s="5" t="s">
        <v>0</v>
      </c>
    </row>
    <row r="2" spans="2:5" ht="13" customHeight="1">
      <c r="B2" s="5" t="s">
        <v>248</v>
      </c>
    </row>
    <row r="3" spans="2:5" ht="13" customHeight="1">
      <c r="B3" s="4" t="s">
        <v>249</v>
      </c>
    </row>
    <row r="5" spans="2:5" ht="13" customHeight="1">
      <c r="B5" s="107" t="s">
        <v>250</v>
      </c>
      <c r="C5" s="107" t="s">
        <v>251</v>
      </c>
      <c r="D5" s="108" t="s">
        <v>252</v>
      </c>
      <c r="E5" s="132"/>
    </row>
    <row r="6" spans="2:5" ht="14" customHeight="1">
      <c r="B6" s="3" t="s">
        <v>253</v>
      </c>
      <c r="C6" s="3" t="s">
        <v>254</v>
      </c>
      <c r="D6" s="109">
        <v>5.2900000000000003E-2</v>
      </c>
      <c r="E6" s="109"/>
    </row>
    <row r="7" spans="2:5">
      <c r="B7" s="3" t="s">
        <v>255</v>
      </c>
      <c r="C7" s="3" t="s">
        <v>256</v>
      </c>
      <c r="D7" s="115">
        <f>J38</f>
        <v>0.49457116874906959</v>
      </c>
      <c r="E7" s="115"/>
    </row>
    <row r="8" spans="2:5">
      <c r="B8" s="3" t="s">
        <v>257</v>
      </c>
      <c r="C8" s="3" t="s">
        <v>258</v>
      </c>
      <c r="D8" s="74">
        <f>D27</f>
        <v>0.1172834225566865</v>
      </c>
      <c r="E8" s="74"/>
    </row>
    <row r="9" spans="2:5">
      <c r="B9" s="3" t="s">
        <v>259</v>
      </c>
      <c r="C9" s="3" t="s">
        <v>260</v>
      </c>
      <c r="D9" s="101">
        <f>DCF!I13</f>
        <v>0.2</v>
      </c>
      <c r="E9" s="101"/>
    </row>
    <row r="10" spans="2:5">
      <c r="B10" s="3" t="s">
        <v>261</v>
      </c>
      <c r="C10" s="3" t="s">
        <v>262</v>
      </c>
      <c r="D10" s="115">
        <f>D7*(1+(1-D9)*D8)</f>
        <v>0.54097516824407077</v>
      </c>
      <c r="E10" s="115"/>
    </row>
    <row r="11" spans="2:5">
      <c r="B11" s="3" t="s">
        <v>263</v>
      </c>
      <c r="C11" s="3" t="s">
        <v>264</v>
      </c>
      <c r="D11" s="76">
        <v>0.05</v>
      </c>
      <c r="E11" s="76"/>
    </row>
    <row r="12" spans="2:5" ht="13" customHeight="1">
      <c r="B12" s="110" t="s">
        <v>265</v>
      </c>
      <c r="C12" s="110" t="s">
        <v>266</v>
      </c>
      <c r="D12" s="116">
        <f>D6+D10*D11</f>
        <v>7.9948758412203544E-2</v>
      </c>
      <c r="E12" s="134"/>
    </row>
    <row r="14" spans="2:5" ht="13" customHeight="1">
      <c r="B14" s="107" t="s">
        <v>267</v>
      </c>
      <c r="C14" s="107"/>
      <c r="D14" s="108"/>
      <c r="E14" s="132"/>
    </row>
    <row r="15" spans="2:5">
      <c r="B15" s="3" t="s">
        <v>268</v>
      </c>
      <c r="C15" s="3" t="s">
        <v>269</v>
      </c>
      <c r="D15" s="109">
        <v>5.8799999999999998E-2</v>
      </c>
      <c r="E15" s="109"/>
    </row>
    <row r="16" spans="2:5">
      <c r="B16" s="3" t="s">
        <v>259</v>
      </c>
      <c r="D16" s="74">
        <f>D9</f>
        <v>0.2</v>
      </c>
      <c r="E16" s="74"/>
    </row>
    <row r="17" spans="2:10" ht="13" customHeight="1">
      <c r="B17" s="110" t="s">
        <v>270</v>
      </c>
      <c r="C17" s="110"/>
      <c r="D17" s="116">
        <f>D15*(1-D16)</f>
        <v>4.7039999999999998E-2</v>
      </c>
      <c r="E17" s="134"/>
    </row>
    <row r="19" spans="2:10" ht="13" customHeight="1">
      <c r="B19" s="107" t="s">
        <v>271</v>
      </c>
      <c r="C19" s="107"/>
      <c r="D19" s="108"/>
      <c r="E19" s="132"/>
    </row>
    <row r="20" spans="2:10">
      <c r="B20" s="3" t="s">
        <v>18</v>
      </c>
      <c r="C20" s="105" t="s">
        <v>272</v>
      </c>
      <c r="D20" s="117">
        <v>86.08</v>
      </c>
      <c r="E20" s="117"/>
    </row>
    <row r="21" spans="2:10">
      <c r="B21" s="3" t="s">
        <v>273</v>
      </c>
      <c r="C21" s="105" t="s">
        <v>274</v>
      </c>
      <c r="D21" s="118">
        <v>4313</v>
      </c>
      <c r="E21" s="118"/>
    </row>
    <row r="22" spans="2:10" ht="13" customHeight="1">
      <c r="B22" s="110" t="s">
        <v>275</v>
      </c>
      <c r="C22" s="110"/>
      <c r="D22" s="119">
        <f>D20*D21</f>
        <v>371263.04</v>
      </c>
      <c r="E22" s="133"/>
    </row>
    <row r="23" spans="2:10">
      <c r="B23" s="3" t="s">
        <v>276</v>
      </c>
      <c r="C23" s="105" t="s">
        <v>277</v>
      </c>
      <c r="D23" s="90">
        <v>43543</v>
      </c>
      <c r="E23" s="90"/>
    </row>
    <row r="24" spans="2:10" ht="13" customHeight="1">
      <c r="B24" s="110" t="s">
        <v>278</v>
      </c>
      <c r="C24" s="110"/>
      <c r="D24" s="119">
        <f>D23+D22</f>
        <v>414806.04</v>
      </c>
      <c r="E24" s="133"/>
    </row>
    <row r="25" spans="2:10" ht="13" customHeight="1">
      <c r="B25" s="111" t="s">
        <v>279</v>
      </c>
      <c r="D25" s="120">
        <f>D23/D24</f>
        <v>0.10497195267455604</v>
      </c>
      <c r="E25" s="120"/>
    </row>
    <row r="26" spans="2:10" ht="13" customHeight="1">
      <c r="B26" s="111" t="s">
        <v>280</v>
      </c>
      <c r="D26" s="120">
        <f>D22/D24</f>
        <v>0.89502804732544394</v>
      </c>
      <c r="E26" s="120"/>
    </row>
    <row r="27" spans="2:10" ht="13" customHeight="1">
      <c r="B27" s="111" t="s">
        <v>281</v>
      </c>
      <c r="D27" s="120">
        <f>D23/D22</f>
        <v>0.1172834225566865</v>
      </c>
      <c r="E27" s="120"/>
    </row>
    <row r="28" spans="2:10" s="5" customFormat="1" ht="13" customHeight="1"/>
    <row r="29" spans="2:10" ht="14" customHeight="1" thickBot="1">
      <c r="B29" s="112" t="s">
        <v>282</v>
      </c>
      <c r="C29" s="112"/>
      <c r="D29" s="113">
        <f>D12*D26+D17*D25</f>
        <v>7.6494261781579323E-2</v>
      </c>
      <c r="E29" s="134"/>
    </row>
    <row r="31" spans="2:10">
      <c r="B31" s="3" t="s">
        <v>283</v>
      </c>
      <c r="E31" s="121">
        <v>0.67</v>
      </c>
    </row>
    <row r="32" spans="2:10" ht="14" customHeight="1">
      <c r="B32" s="107" t="s">
        <v>3</v>
      </c>
      <c r="C32" s="107" t="s">
        <v>8</v>
      </c>
      <c r="D32" s="114" t="s">
        <v>261</v>
      </c>
      <c r="E32" s="114" t="s">
        <v>284</v>
      </c>
      <c r="F32" s="114" t="s">
        <v>285</v>
      </c>
      <c r="G32" s="114" t="s">
        <v>276</v>
      </c>
      <c r="H32" s="114" t="s">
        <v>286</v>
      </c>
      <c r="I32" s="114" t="s">
        <v>259</v>
      </c>
      <c r="J32" s="114" t="s">
        <v>287</v>
      </c>
    </row>
    <row r="33" spans="2:10">
      <c r="B33" s="3" t="s">
        <v>4</v>
      </c>
      <c r="C33" s="3" t="s">
        <v>9</v>
      </c>
      <c r="D33" s="121">
        <v>0.36</v>
      </c>
      <c r="E33" s="115">
        <f>$E$31*D33+(1-$E$31)</f>
        <v>0.57119999999999993</v>
      </c>
      <c r="F33" s="90">
        <v>172961</v>
      </c>
      <c r="G33" s="90">
        <v>53214</v>
      </c>
      <c r="H33" s="74">
        <f>G33/F33</f>
        <v>0.30766473366828362</v>
      </c>
      <c r="I33" s="76">
        <v>0.21</v>
      </c>
      <c r="J33" s="115">
        <f>E33/(1+(1-I33)*H33)</f>
        <v>0.45951300292660374</v>
      </c>
    </row>
    <row r="34" spans="2:10">
      <c r="B34" s="3" t="s">
        <v>5</v>
      </c>
      <c r="C34" s="3" t="s">
        <v>10</v>
      </c>
      <c r="D34" s="121">
        <v>0.41</v>
      </c>
      <c r="E34" s="115">
        <f>$E$31*D34+(1-$E$31)</f>
        <v>0.60470000000000002</v>
      </c>
      <c r="F34" s="90">
        <v>41290</v>
      </c>
      <c r="G34" s="90">
        <v>34480</v>
      </c>
      <c r="H34" s="74">
        <f>G34/F34</f>
        <v>0.83506902397674987</v>
      </c>
      <c r="I34" s="76">
        <v>0.21</v>
      </c>
      <c r="J34" s="115">
        <f>E34/(1+(1-I34)*H34)</f>
        <v>0.36434195933996022</v>
      </c>
    </row>
    <row r="35" spans="2:10">
      <c r="B35" s="3" t="s">
        <v>6</v>
      </c>
      <c r="C35" s="3" t="s">
        <v>11</v>
      </c>
      <c r="D35" s="121">
        <v>0.49</v>
      </c>
      <c r="E35" s="115">
        <f>$E$31*D35+(1-$E$31)</f>
        <v>0.6583</v>
      </c>
      <c r="F35" s="90">
        <v>81537</v>
      </c>
      <c r="G35" s="90">
        <v>93</v>
      </c>
      <c r="H35" s="74">
        <f>G35/F35</f>
        <v>1.1405864822105303E-3</v>
      </c>
      <c r="I35" s="76">
        <v>0.21</v>
      </c>
      <c r="J35" s="115">
        <f>E35/(1+(1-I35)*H35)</f>
        <v>0.65770736401836671</v>
      </c>
    </row>
    <row r="36" spans="2:10">
      <c r="B36" s="3" t="s">
        <v>288</v>
      </c>
      <c r="C36" s="3" t="s">
        <v>7</v>
      </c>
      <c r="D36" s="121">
        <v>0.48</v>
      </c>
      <c r="E36" s="115">
        <f>$E$31*D36+(1-$E$31)</f>
        <v>0.65159999999999996</v>
      </c>
      <c r="F36" s="90">
        <v>45076</v>
      </c>
      <c r="G36" s="90">
        <v>13841</v>
      </c>
      <c r="H36" s="74">
        <f>G36/F36</f>
        <v>0.30705918892537049</v>
      </c>
      <c r="I36" s="76">
        <v>0.25</v>
      </c>
      <c r="J36" s="115">
        <f>E36/(1+(1-I36)*H36)</f>
        <v>0.52962933457153538</v>
      </c>
    </row>
    <row r="37" spans="2:10" ht="13" customHeight="1">
      <c r="B37" s="128" t="s">
        <v>289</v>
      </c>
      <c r="C37" s="122"/>
      <c r="D37" s="125">
        <f>AVERAGE(D33:D36)</f>
        <v>0.435</v>
      </c>
      <c r="E37" s="125">
        <f>AVERAGE(E33:E36)</f>
        <v>0.62145000000000006</v>
      </c>
      <c r="F37" s="123"/>
      <c r="G37" s="123"/>
      <c r="H37" s="130">
        <f>AVERAGE(H33:H36)</f>
        <v>0.36273338326315363</v>
      </c>
      <c r="I37" s="124"/>
      <c r="J37" s="125">
        <f>AVERAGE(J33:J36)</f>
        <v>0.50279791521411654</v>
      </c>
    </row>
    <row r="38" spans="2:10" ht="13" customHeight="1">
      <c r="B38" s="129" t="s">
        <v>46</v>
      </c>
      <c r="D38" s="127">
        <f>MEDIAN(D33:D36)</f>
        <v>0.44499999999999995</v>
      </c>
      <c r="E38" s="127">
        <f>MEDIAN(E33:E36)</f>
        <v>0.62814999999999999</v>
      </c>
      <c r="F38" s="126"/>
      <c r="G38" s="126"/>
      <c r="H38" s="131">
        <f>MEDIAN(H33:H36)</f>
        <v>0.30736196129682702</v>
      </c>
      <c r="I38" s="120"/>
      <c r="J38" s="127">
        <f>MEDIAN(J33:J36)</f>
        <v>0.49457116874906959</v>
      </c>
    </row>
    <row r="39" spans="2:10" ht="13" customHeight="1">
      <c r="J39" s="127"/>
    </row>
    <row r="40" spans="2:10">
      <c r="B40" s="3" t="s">
        <v>290</v>
      </c>
      <c r="C40" s="3" t="s">
        <v>291</v>
      </c>
      <c r="D40" s="121">
        <v>0.32</v>
      </c>
      <c r="E40" s="115">
        <f>$E$31*D40+(1-$E$31)</f>
        <v>0.5444</v>
      </c>
      <c r="F40" s="79">
        <f>D22</f>
        <v>371263.04</v>
      </c>
      <c r="G40" s="79">
        <f>D23</f>
        <v>43543</v>
      </c>
      <c r="H40" s="74">
        <f>G40/F40</f>
        <v>0.1172834225566865</v>
      </c>
      <c r="I40" s="74">
        <f>D9</f>
        <v>0.2</v>
      </c>
      <c r="J40" s="115">
        <f>E40/(1+(1-I40)*H40)</f>
        <v>0.49770222382096274</v>
      </c>
    </row>
    <row r="42" spans="2:10" ht="13" customHeight="1">
      <c r="B42" s="106" t="s">
        <v>51</v>
      </c>
    </row>
    <row r="43" spans="2:10">
      <c r="B43" s="105" t="s">
        <v>292</v>
      </c>
    </row>
    <row r="44" spans="2:10">
      <c r="B44" s="105" t="s">
        <v>293</v>
      </c>
    </row>
    <row r="45" spans="2:10">
      <c r="B45" s="105" t="s">
        <v>294</v>
      </c>
    </row>
    <row r="46" spans="2:10">
      <c r="B46" s="105" t="s">
        <v>295</v>
      </c>
    </row>
    <row r="47" spans="2:10">
      <c r="B47" s="105" t="s">
        <v>296</v>
      </c>
    </row>
    <row r="48" spans="2:10">
      <c r="B48" s="3" t="s">
        <v>297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G79"/>
  <sheetViews>
    <sheetView showGridLines="0" workbookViewId="0">
      <selection activeCell="D53" sqref="D53"/>
    </sheetView>
  </sheetViews>
  <sheetFormatPr defaultColWidth="10.83203125" defaultRowHeight="16"/>
  <cols>
    <col min="1" max="1" width="2.83203125" style="3" customWidth="1"/>
    <col min="2" max="2" width="45.83203125" style="3" customWidth="1"/>
    <col min="3" max="3" width="20.33203125" style="3" bestFit="1" customWidth="1"/>
    <col min="4" max="4" width="11.1640625" style="3" bestFit="1" customWidth="1"/>
    <col min="5" max="5" width="10.83203125" style="3" customWidth="1"/>
    <col min="6" max="6" width="10.83203125" customWidth="1"/>
    <col min="7" max="13" width="10.83203125" style="3" customWidth="1"/>
    <col min="14" max="16384" width="10.83203125" style="3"/>
  </cols>
  <sheetData>
    <row r="1" spans="2:4">
      <c r="B1" s="87" t="s">
        <v>0</v>
      </c>
    </row>
    <row r="2" spans="2:4">
      <c r="B2" s="88" t="s">
        <v>298</v>
      </c>
    </row>
    <row r="3" spans="2:4">
      <c r="B3" s="89" t="s">
        <v>299</v>
      </c>
    </row>
    <row r="5" spans="2:4">
      <c r="B5" s="5" t="s">
        <v>300</v>
      </c>
    </row>
    <row r="6" spans="2:4">
      <c r="B6" s="3" t="s">
        <v>166</v>
      </c>
      <c r="D6" s="90">
        <v>5735</v>
      </c>
    </row>
    <row r="7" spans="2:4">
      <c r="B7" s="3" t="s">
        <v>172</v>
      </c>
      <c r="D7" s="90">
        <v>426</v>
      </c>
    </row>
    <row r="8" spans="2:4">
      <c r="B8" s="91" t="s">
        <v>301</v>
      </c>
      <c r="D8" s="92">
        <f>D7/D6</f>
        <v>7.4280732345248471E-2</v>
      </c>
    </row>
    <row r="9" spans="2:4">
      <c r="B9" s="3" t="s">
        <v>302</v>
      </c>
      <c r="D9" s="90">
        <v>313</v>
      </c>
    </row>
    <row r="10" spans="2:4">
      <c r="B10" s="91" t="s">
        <v>202</v>
      </c>
      <c r="D10" s="92">
        <f>D9/D6</f>
        <v>5.4577157802964252E-2</v>
      </c>
    </row>
    <row r="11" spans="2:4">
      <c r="B11" s="3" t="s">
        <v>303</v>
      </c>
      <c r="D11" s="90">
        <v>547</v>
      </c>
    </row>
    <row r="12" spans="2:4">
      <c r="B12" s="91" t="s">
        <v>203</v>
      </c>
      <c r="D12" s="92">
        <f>D11/D6</f>
        <v>9.5379250217959899E-2</v>
      </c>
    </row>
    <row r="14" spans="2:4">
      <c r="B14" s="85" t="s">
        <v>304</v>
      </c>
    </row>
    <row r="15" spans="2:4">
      <c r="B15" s="93" t="s">
        <v>305</v>
      </c>
      <c r="D15" s="94">
        <f>IS!H6</f>
        <v>47941</v>
      </c>
    </row>
    <row r="16" spans="2:4">
      <c r="B16" s="93" t="s">
        <v>306</v>
      </c>
      <c r="D16" s="95">
        <f>-D6</f>
        <v>-5735</v>
      </c>
    </row>
    <row r="17" spans="2:7">
      <c r="B17" s="39" t="s">
        <v>307</v>
      </c>
      <c r="C17" s="40"/>
      <c r="D17" s="96">
        <f>D15+D16</f>
        <v>42206</v>
      </c>
    </row>
    <row r="18" spans="2:7">
      <c r="B18" s="3" t="s">
        <v>308</v>
      </c>
      <c r="D18" s="97">
        <v>0.05</v>
      </c>
    </row>
    <row r="19" spans="2:7">
      <c r="B19" s="3" t="s">
        <v>309</v>
      </c>
      <c r="D19" s="86">
        <f>D17*D18/(1-D18)</f>
        <v>2221.3684210526317</v>
      </c>
    </row>
    <row r="20" spans="2:7">
      <c r="B20" s="40" t="s">
        <v>310</v>
      </c>
      <c r="C20" s="40"/>
      <c r="D20" s="96">
        <f>D6-D19</f>
        <v>3513.6315789473683</v>
      </c>
    </row>
    <row r="21" spans="2:7">
      <c r="B21" s="91" t="s">
        <v>311</v>
      </c>
      <c r="D21" s="92">
        <f>D20/D15</f>
        <v>7.3290744434771252E-2</v>
      </c>
    </row>
    <row r="22" spans="2:7">
      <c r="B22" s="3" t="s">
        <v>312</v>
      </c>
      <c r="D22" s="86">
        <f>D20*D8</f>
        <v>260.99512687560224</v>
      </c>
    </row>
    <row r="23" spans="2:7">
      <c r="B23" s="3" t="s">
        <v>313</v>
      </c>
      <c r="D23" s="86">
        <f>D20*D10</f>
        <v>191.76402514568898</v>
      </c>
    </row>
    <row r="24" spans="2:7">
      <c r="B24" s="3" t="s">
        <v>314</v>
      </c>
      <c r="D24" s="86">
        <f>D20*D12</f>
        <v>335.12754554214655</v>
      </c>
    </row>
    <row r="27" spans="2:7" ht="13" customHeight="1">
      <c r="B27" s="5" t="s">
        <v>315</v>
      </c>
      <c r="C27" s="5"/>
      <c r="D27" s="98" t="s">
        <v>316</v>
      </c>
      <c r="E27" s="98" t="s">
        <v>317</v>
      </c>
      <c r="F27" s="98" t="s">
        <v>318</v>
      </c>
      <c r="G27" s="98" t="s">
        <v>319</v>
      </c>
    </row>
    <row r="28" spans="2:7" ht="13" customHeight="1">
      <c r="B28" s="3" t="s">
        <v>166</v>
      </c>
      <c r="D28" s="94">
        <f>IS!H6</f>
        <v>47941</v>
      </c>
      <c r="E28" s="86">
        <f>-D20</f>
        <v>-3513.6315789473683</v>
      </c>
      <c r="F28" s="86">
        <f>D28+E28</f>
        <v>44427.368421052633</v>
      </c>
    </row>
    <row r="29" spans="2:7" ht="13" customHeight="1">
      <c r="B29" s="3" t="s">
        <v>241</v>
      </c>
      <c r="D29" s="94">
        <f>Adj!H8</f>
        <v>15023</v>
      </c>
      <c r="E29" s="86">
        <f>-D22</f>
        <v>-260.99512687560224</v>
      </c>
      <c r="F29" s="86">
        <f>D29+E29</f>
        <v>14762.004873124397</v>
      </c>
    </row>
    <row r="30" spans="2:7" ht="13" customHeight="1">
      <c r="B30" s="91" t="s">
        <v>169</v>
      </c>
      <c r="D30" s="92">
        <f>D29/D28</f>
        <v>0.31336434367243071</v>
      </c>
      <c r="E30" s="92">
        <f>E29/E28</f>
        <v>7.4280732345248471E-2</v>
      </c>
      <c r="F30" s="92">
        <f>F29/F28</f>
        <v>0.33227277234204083</v>
      </c>
      <c r="G30" s="92">
        <f>F30-D30</f>
        <v>1.8908428669610122E-2</v>
      </c>
    </row>
    <row r="31" spans="2:7" ht="13" customHeight="1">
      <c r="B31" s="3" t="s">
        <v>302</v>
      </c>
      <c r="D31" s="94">
        <f>CF!H7</f>
        <v>1050</v>
      </c>
      <c r="E31" s="86">
        <f>-D23</f>
        <v>-191.76402514568898</v>
      </c>
      <c r="F31" s="86">
        <f>D31+E31</f>
        <v>858.23597485431105</v>
      </c>
    </row>
    <row r="32" spans="2:7" ht="13" customHeight="1">
      <c r="B32" s="91" t="s">
        <v>320</v>
      </c>
      <c r="D32" s="92">
        <f>D31/D28</f>
        <v>2.1901921111366053E-2</v>
      </c>
      <c r="E32" s="92">
        <f>E31/E28</f>
        <v>5.4577157802964252E-2</v>
      </c>
      <c r="F32" s="92">
        <f>F31/F28</f>
        <v>1.9317731510012686E-2</v>
      </c>
      <c r="G32" s="92">
        <f>F32-D32</f>
        <v>-2.584189601353367E-3</v>
      </c>
    </row>
    <row r="33" spans="2:7" ht="13" customHeight="1">
      <c r="B33" s="88" t="s">
        <v>243</v>
      </c>
      <c r="D33" s="99">
        <f>D29+D31</f>
        <v>16073</v>
      </c>
      <c r="E33" s="99">
        <f>E29+E31</f>
        <v>-452.75915202129124</v>
      </c>
      <c r="F33" s="99">
        <f>F29+F31</f>
        <v>15620.240847978708</v>
      </c>
    </row>
    <row r="34" spans="2:7" ht="13" customHeight="1">
      <c r="B34" s="91" t="s">
        <v>169</v>
      </c>
      <c r="D34" s="92">
        <f>D33/D28</f>
        <v>0.33526626478379673</v>
      </c>
      <c r="E34" s="92">
        <f>E33/E28</f>
        <v>0.12885789014821272</v>
      </c>
      <c r="F34" s="92">
        <f>F33/F28</f>
        <v>0.35159050385205354</v>
      </c>
      <c r="G34" s="92">
        <f>F34-D34</f>
        <v>1.6324239068256807E-2</v>
      </c>
    </row>
    <row r="35" spans="2:7" ht="13" customHeight="1">
      <c r="B35" s="3" t="s">
        <v>195</v>
      </c>
      <c r="D35" s="94">
        <f>-CF!H17</f>
        <v>2112</v>
      </c>
      <c r="E35" s="86">
        <f>-D24</f>
        <v>-335.12754554214655</v>
      </c>
      <c r="F35" s="86">
        <f>D35+E35</f>
        <v>1776.8724544578536</v>
      </c>
    </row>
    <row r="36" spans="2:7" ht="13" customHeight="1">
      <c r="B36" s="91" t="s">
        <v>320</v>
      </c>
      <c r="D36" s="92">
        <f>D35/D28</f>
        <v>4.4054149892576291E-2</v>
      </c>
      <c r="E36" s="92">
        <f>E35/E28</f>
        <v>9.5379250217959899E-2</v>
      </c>
      <c r="F36" s="92">
        <f>F35/F28</f>
        <v>3.9994996724043046E-2</v>
      </c>
      <c r="G36" s="92">
        <f>F36-D36</f>
        <v>-4.0591531685332458E-3</v>
      </c>
    </row>
    <row r="38" spans="2:7">
      <c r="B38" s="5" t="s">
        <v>321</v>
      </c>
      <c r="D38" s="102">
        <f>D33-Adj!H11</f>
        <v>0</v>
      </c>
    </row>
    <row r="39" spans="2:7">
      <c r="B39" s="5" t="s">
        <v>322</v>
      </c>
      <c r="D39" s="74">
        <f>D19/F28-D18</f>
        <v>0</v>
      </c>
    </row>
    <row r="41" spans="2:7">
      <c r="B41" s="5" t="s">
        <v>323</v>
      </c>
    </row>
    <row r="42" spans="2:7">
      <c r="B42" s="3" t="s">
        <v>324</v>
      </c>
      <c r="D42" s="86">
        <f>D20</f>
        <v>3513.6315789473683</v>
      </c>
    </row>
    <row r="43" spans="2:7">
      <c r="B43" s="3" t="s">
        <v>325</v>
      </c>
      <c r="D43" s="74">
        <f>DCF!I8+DCF!I9</f>
        <v>6.0000000000000005E-2</v>
      </c>
    </row>
    <row r="44" spans="2:7">
      <c r="B44" s="3" t="s">
        <v>326</v>
      </c>
      <c r="D44" s="86">
        <f>D42*(1+D43)</f>
        <v>3724.4494736842107</v>
      </c>
    </row>
    <row r="45" spans="2:7">
      <c r="B45" s="3" t="s">
        <v>327</v>
      </c>
      <c r="D45" s="55">
        <f>DCF!I19</f>
        <v>49618.934999999998</v>
      </c>
    </row>
    <row r="46" spans="2:7">
      <c r="B46" s="3" t="s">
        <v>328</v>
      </c>
      <c r="D46" s="74">
        <f>-D44/D45</f>
        <v>-7.5061052271359938E-2</v>
      </c>
    </row>
    <row r="47" spans="2:7">
      <c r="D47" s="66"/>
    </row>
    <row r="48" spans="2:7">
      <c r="B48" s="5" t="s">
        <v>329</v>
      </c>
    </row>
    <row r="49" spans="2:4">
      <c r="B49" s="3" t="s">
        <v>330</v>
      </c>
      <c r="C49" s="3" t="s">
        <v>331</v>
      </c>
      <c r="D49" s="90">
        <v>3400</v>
      </c>
    </row>
    <row r="50" spans="2:4">
      <c r="B50" s="3" t="s">
        <v>332</v>
      </c>
      <c r="C50" s="3" t="s">
        <v>331</v>
      </c>
      <c r="D50" s="109">
        <v>0.41520000000000001</v>
      </c>
    </row>
    <row r="51" spans="2:4">
      <c r="B51" s="3" t="s">
        <v>333</v>
      </c>
      <c r="C51" s="3" t="s">
        <v>331</v>
      </c>
      <c r="D51" s="109">
        <v>0.25</v>
      </c>
    </row>
    <row r="52" spans="2:4">
      <c r="B52" s="5" t="s">
        <v>334</v>
      </c>
      <c r="D52" s="133">
        <f>D50*D49</f>
        <v>1411.68</v>
      </c>
    </row>
    <row r="53" spans="2:4">
      <c r="B53" s="5" t="s">
        <v>335</v>
      </c>
      <c r="D53" s="133">
        <f>D51*D49</f>
        <v>850</v>
      </c>
    </row>
    <row r="55" spans="2:4">
      <c r="B55" s="3" t="s">
        <v>336</v>
      </c>
      <c r="C55" s="3" t="s">
        <v>337</v>
      </c>
      <c r="D55" s="90">
        <v>5438</v>
      </c>
    </row>
    <row r="56" spans="2:4">
      <c r="B56" s="3" t="s">
        <v>338</v>
      </c>
      <c r="C56" s="3" t="s">
        <v>337</v>
      </c>
      <c r="D56" s="90">
        <v>2442</v>
      </c>
    </row>
    <row r="57" spans="2:4">
      <c r="B57" s="3" t="s">
        <v>339</v>
      </c>
      <c r="D57" s="86">
        <f>D55-D56</f>
        <v>2996</v>
      </c>
    </row>
    <row r="58" spans="2:4">
      <c r="B58" s="111" t="s">
        <v>340</v>
      </c>
      <c r="D58" s="167">
        <f>1-(D50+D51)</f>
        <v>0.33479999999999999</v>
      </c>
    </row>
    <row r="59" spans="2:4">
      <c r="B59" s="5" t="s">
        <v>341</v>
      </c>
      <c r="D59" s="133">
        <f>D58*D57</f>
        <v>1003.0608</v>
      </c>
    </row>
    <row r="75" spans="2:2">
      <c r="B75" s="5" t="s">
        <v>51</v>
      </c>
    </row>
    <row r="76" spans="2:2">
      <c r="B76" s="168" t="s">
        <v>342</v>
      </c>
    </row>
    <row r="77" spans="2:2">
      <c r="B77" s="168" t="s">
        <v>343</v>
      </c>
    </row>
    <row r="78" spans="2:2">
      <c r="B78" s="168" t="s">
        <v>344</v>
      </c>
    </row>
    <row r="79" spans="2:2">
      <c r="B79" s="168" t="s">
        <v>345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28"/>
  <sheetViews>
    <sheetView showGridLines="0" zoomScale="108" workbookViewId="0">
      <selection activeCell="H24" sqref="H24"/>
    </sheetView>
  </sheetViews>
  <sheetFormatPr defaultColWidth="8.83203125" defaultRowHeight="16"/>
  <cols>
    <col min="1" max="1" width="2.83203125" customWidth="1"/>
    <col min="2" max="2" width="45.83203125" customWidth="1"/>
    <col min="3" max="5" width="12" customWidth="1"/>
    <col min="6" max="6" width="13" customWidth="1"/>
    <col min="7" max="7" width="14" customWidth="1"/>
    <col min="8" max="8" width="52" customWidth="1"/>
  </cols>
  <sheetData>
    <row r="1" spans="2:8">
      <c r="B1" s="169" t="s">
        <v>0</v>
      </c>
    </row>
    <row r="2" spans="2:8">
      <c r="B2" s="170" t="s">
        <v>346</v>
      </c>
    </row>
    <row r="3" spans="2:8">
      <c r="B3" s="171" t="s">
        <v>193</v>
      </c>
    </row>
    <row r="5" spans="2:8">
      <c r="B5" s="172" t="s">
        <v>3</v>
      </c>
      <c r="C5" s="172" t="s">
        <v>8</v>
      </c>
      <c r="D5" s="173" t="s">
        <v>347</v>
      </c>
      <c r="E5" s="173" t="s">
        <v>348</v>
      </c>
      <c r="F5" s="173" t="s">
        <v>349</v>
      </c>
      <c r="G5" s="173" t="s">
        <v>350</v>
      </c>
      <c r="H5" s="172" t="s">
        <v>251</v>
      </c>
    </row>
    <row r="6" spans="2:8">
      <c r="B6" s="174" t="s">
        <v>6</v>
      </c>
      <c r="C6" s="174" t="s">
        <v>11</v>
      </c>
      <c r="D6" s="175">
        <v>0.21</v>
      </c>
      <c r="E6" s="176">
        <v>81537</v>
      </c>
      <c r="F6" s="177">
        <f>D6*E6</f>
        <v>17122.77</v>
      </c>
      <c r="G6" s="176">
        <v>5593</v>
      </c>
      <c r="H6" s="174" t="s">
        <v>351</v>
      </c>
    </row>
    <row r="7" spans="2:8">
      <c r="B7" s="174" t="s">
        <v>288</v>
      </c>
      <c r="C7" s="174" t="s">
        <v>7</v>
      </c>
      <c r="D7" s="175">
        <v>0.18</v>
      </c>
      <c r="E7" s="176">
        <v>45076</v>
      </c>
      <c r="F7" s="177">
        <f>D7*E7</f>
        <v>8113.6799999999994</v>
      </c>
      <c r="G7" s="176">
        <v>3926</v>
      </c>
      <c r="H7" s="174" t="s">
        <v>352</v>
      </c>
    </row>
    <row r="8" spans="2:8">
      <c r="B8" s="174" t="s">
        <v>353</v>
      </c>
      <c r="C8" s="174" t="s">
        <v>354</v>
      </c>
      <c r="D8" s="175">
        <v>0.28000000000000003</v>
      </c>
      <c r="E8" s="176">
        <v>22697</v>
      </c>
      <c r="F8" s="177">
        <f>D8*E8</f>
        <v>6355.1600000000008</v>
      </c>
      <c r="G8" s="176">
        <v>2236</v>
      </c>
      <c r="H8" s="174" t="s">
        <v>355</v>
      </c>
    </row>
    <row r="9" spans="2:8">
      <c r="B9" s="174" t="s">
        <v>356</v>
      </c>
      <c r="C9" s="174" t="s">
        <v>357</v>
      </c>
      <c r="D9" s="175">
        <v>0.22</v>
      </c>
      <c r="E9" s="176">
        <v>21053</v>
      </c>
      <c r="F9" s="177">
        <f>D9*E9</f>
        <v>4631.66</v>
      </c>
      <c r="G9" s="176">
        <v>1391</v>
      </c>
      <c r="H9" s="174" t="s">
        <v>358</v>
      </c>
    </row>
    <row r="10" spans="2:8">
      <c r="B10" s="174" t="s">
        <v>359</v>
      </c>
      <c r="C10" s="174" t="s">
        <v>360</v>
      </c>
      <c r="D10" s="175">
        <v>0.24</v>
      </c>
      <c r="E10" s="176">
        <v>3847</v>
      </c>
      <c r="F10" s="177">
        <f>D10*E10</f>
        <v>923.28</v>
      </c>
      <c r="G10" s="176">
        <v>459</v>
      </c>
      <c r="H10" s="174" t="s">
        <v>361</v>
      </c>
    </row>
    <row r="11" spans="2:8">
      <c r="B11" s="174" t="s">
        <v>362</v>
      </c>
      <c r="C11" s="174" t="s">
        <v>363</v>
      </c>
      <c r="D11" s="178" t="s">
        <v>364</v>
      </c>
      <c r="E11" s="178" t="s">
        <v>364</v>
      </c>
      <c r="F11" s="176">
        <v>770</v>
      </c>
      <c r="G11" s="176">
        <v>288</v>
      </c>
      <c r="H11" s="174" t="s">
        <v>365</v>
      </c>
    </row>
    <row r="12" spans="2:8">
      <c r="B12" s="174" t="s">
        <v>366</v>
      </c>
      <c r="C12" s="174" t="s">
        <v>367</v>
      </c>
      <c r="D12" s="178" t="s">
        <v>364</v>
      </c>
      <c r="E12" s="178" t="s">
        <v>364</v>
      </c>
      <c r="F12" s="176">
        <v>278</v>
      </c>
      <c r="G12" s="176">
        <v>106</v>
      </c>
      <c r="H12" s="174" t="s">
        <v>365</v>
      </c>
    </row>
    <row r="13" spans="2:8">
      <c r="B13" s="179" t="s">
        <v>368</v>
      </c>
      <c r="C13" s="180"/>
      <c r="D13" s="180"/>
      <c r="E13" s="180"/>
      <c r="F13" s="181">
        <f>SUM(F6:F12)</f>
        <v>38194.550000000003</v>
      </c>
      <c r="G13" s="181">
        <f>SUM(G6:G12)</f>
        <v>13999</v>
      </c>
      <c r="H13" s="180"/>
    </row>
    <row r="14" spans="2:8">
      <c r="B14" s="182" t="s">
        <v>369</v>
      </c>
      <c r="G14" s="183">
        <v>13999</v>
      </c>
    </row>
    <row r="15" spans="2:8">
      <c r="B15" s="182" t="s">
        <v>370</v>
      </c>
      <c r="G15" s="184">
        <f>G13-G14</f>
        <v>0</v>
      </c>
    </row>
    <row r="17" spans="2:8">
      <c r="B17" s="172" t="s">
        <v>371</v>
      </c>
      <c r="C17" s="185"/>
      <c r="D17" s="185"/>
      <c r="E17" s="185"/>
      <c r="F17" s="185"/>
      <c r="G17" s="185"/>
    </row>
    <row r="18" spans="2:8">
      <c r="B18" s="174" t="s">
        <v>372</v>
      </c>
      <c r="F18" s="176">
        <v>20782</v>
      </c>
      <c r="H18" s="174" t="s">
        <v>373</v>
      </c>
    </row>
    <row r="19" spans="2:8">
      <c r="B19" s="174" t="s">
        <v>374</v>
      </c>
      <c r="F19" s="186">
        <f>-G13</f>
        <v>-13999</v>
      </c>
    </row>
    <row r="20" spans="2:8">
      <c r="B20" s="179" t="s">
        <v>375</v>
      </c>
      <c r="C20" s="180"/>
      <c r="D20" s="180"/>
      <c r="E20" s="180"/>
      <c r="F20" s="187">
        <f>F18+F19</f>
        <v>6783</v>
      </c>
      <c r="G20" s="180"/>
    </row>
    <row r="21" spans="2:8">
      <c r="B21" s="174" t="s">
        <v>376</v>
      </c>
      <c r="F21" s="186">
        <f>F13</f>
        <v>38194.550000000003</v>
      </c>
    </row>
    <row r="22" spans="2:8">
      <c r="B22" s="188" t="s">
        <v>377</v>
      </c>
      <c r="C22" s="189"/>
      <c r="D22" s="189"/>
      <c r="E22" s="189"/>
      <c r="F22" s="190">
        <f>F20+F21</f>
        <v>44977.55</v>
      </c>
      <c r="G22" s="189"/>
    </row>
    <row r="24" spans="2:8">
      <c r="B24" s="170" t="s">
        <v>51</v>
      </c>
    </row>
    <row r="25" spans="2:8">
      <c r="B25" s="174" t="s">
        <v>378</v>
      </c>
    </row>
    <row r="26" spans="2:8">
      <c r="B26" s="174" t="s">
        <v>379</v>
      </c>
    </row>
    <row r="27" spans="2:8">
      <c r="B27" s="174" t="s">
        <v>380</v>
      </c>
    </row>
    <row r="28" spans="2:8">
      <c r="B28" s="174" t="s">
        <v>381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M118"/>
  <sheetViews>
    <sheetView showGridLines="0" topLeftCell="A58" zoomScale="70" zoomScaleNormal="70" workbookViewId="0">
      <selection activeCell="I86" sqref="I86"/>
    </sheetView>
  </sheetViews>
  <sheetFormatPr defaultColWidth="10.83203125" defaultRowHeight="12.5"/>
  <cols>
    <col min="1" max="1" width="2.83203125" style="3" customWidth="1"/>
    <col min="2" max="2" width="49.1640625" style="3" customWidth="1"/>
    <col min="3" max="3" width="27.33203125" style="3" bestFit="1" customWidth="1"/>
    <col min="4" max="13" width="18.33203125" style="3" customWidth="1"/>
    <col min="14" max="17" width="10.83203125" style="3" customWidth="1"/>
    <col min="18" max="16384" width="10.83203125" style="3"/>
  </cols>
  <sheetData>
    <row r="1" spans="2:13" ht="13" customHeight="1">
      <c r="B1" s="21" t="s">
        <v>191</v>
      </c>
    </row>
    <row r="2" spans="2:13">
      <c r="B2" s="20" t="s">
        <v>382</v>
      </c>
    </row>
    <row r="3" spans="2:13">
      <c r="B3" s="20" t="s">
        <v>164</v>
      </c>
    </row>
    <row r="4" spans="2:13" ht="16" customHeight="1">
      <c r="D4" s="230" t="s">
        <v>383</v>
      </c>
      <c r="E4" s="231"/>
      <c r="F4" s="231"/>
      <c r="G4" s="231"/>
      <c r="H4" s="231"/>
      <c r="I4" s="230" t="s">
        <v>384</v>
      </c>
      <c r="J4" s="231"/>
      <c r="K4" s="231"/>
      <c r="L4" s="231"/>
      <c r="M4" s="231"/>
    </row>
    <row r="5" spans="2:13" ht="16" customHeight="1">
      <c r="B5" s="144"/>
      <c r="C5" s="144"/>
      <c r="D5" s="145">
        <f>IS!D5</f>
        <v>2021</v>
      </c>
      <c r="E5" s="146">
        <f t="shared" ref="E5:M5" si="0">D5+1</f>
        <v>2022</v>
      </c>
      <c r="F5" s="146">
        <f t="shared" si="0"/>
        <v>2023</v>
      </c>
      <c r="G5" s="146">
        <f t="shared" si="0"/>
        <v>2024</v>
      </c>
      <c r="H5" s="146">
        <f t="shared" si="0"/>
        <v>2025</v>
      </c>
      <c r="I5" s="147">
        <f t="shared" si="0"/>
        <v>2026</v>
      </c>
      <c r="J5" s="147">
        <f t="shared" si="0"/>
        <v>2027</v>
      </c>
      <c r="K5" s="147">
        <f t="shared" si="0"/>
        <v>2028</v>
      </c>
      <c r="L5" s="147">
        <f t="shared" si="0"/>
        <v>2029</v>
      </c>
      <c r="M5" s="147">
        <f t="shared" si="0"/>
        <v>2030</v>
      </c>
    </row>
    <row r="6" spans="2:13">
      <c r="H6" s="68"/>
    </row>
    <row r="7" spans="2:13" ht="13" customHeight="1">
      <c r="B7" s="5" t="s">
        <v>385</v>
      </c>
      <c r="H7" s="68"/>
    </row>
    <row r="8" spans="2:13">
      <c r="B8" s="80" t="s">
        <v>386</v>
      </c>
      <c r="C8" s="3" t="s">
        <v>246</v>
      </c>
      <c r="G8" s="97">
        <v>0.12</v>
      </c>
      <c r="H8" s="100">
        <v>0.05</v>
      </c>
      <c r="I8" s="76">
        <v>0.05</v>
      </c>
      <c r="J8" s="76">
        <v>4.4999999999999998E-2</v>
      </c>
      <c r="K8" s="76">
        <v>4.4999999999999998E-2</v>
      </c>
      <c r="L8" s="76">
        <v>0.04</v>
      </c>
      <c r="M8" s="76">
        <v>0.03</v>
      </c>
    </row>
    <row r="9" spans="2:13">
      <c r="B9" s="80" t="s">
        <v>387</v>
      </c>
      <c r="C9" s="3" t="s">
        <v>246</v>
      </c>
      <c r="G9" s="97">
        <v>-0.05</v>
      </c>
      <c r="H9" s="100">
        <v>-0.02</v>
      </c>
      <c r="I9" s="76">
        <v>0.01</v>
      </c>
      <c r="J9" s="76">
        <v>0</v>
      </c>
      <c r="K9" s="76">
        <v>0</v>
      </c>
      <c r="L9" s="76">
        <v>0</v>
      </c>
      <c r="M9" s="76">
        <v>0</v>
      </c>
    </row>
    <row r="10" spans="2:13">
      <c r="B10" s="80" t="s">
        <v>388</v>
      </c>
      <c r="C10" s="3" t="s">
        <v>246</v>
      </c>
      <c r="G10" s="97">
        <v>-0.04</v>
      </c>
      <c r="H10" s="100">
        <v>-0.01</v>
      </c>
      <c r="I10" s="76">
        <v>-2.5000000000000001E-2</v>
      </c>
      <c r="J10" s="103">
        <f>CCBA!D46</f>
        <v>-7.5061052271359938E-2</v>
      </c>
      <c r="K10" s="104">
        <v>0</v>
      </c>
      <c r="L10" s="104">
        <v>0</v>
      </c>
      <c r="M10" s="104">
        <v>0</v>
      </c>
    </row>
    <row r="11" spans="2:13" ht="13" customHeight="1">
      <c r="B11" s="81" t="s">
        <v>389</v>
      </c>
      <c r="C11" s="38"/>
      <c r="D11" s="38"/>
      <c r="E11" s="38"/>
      <c r="F11" s="38"/>
      <c r="G11" s="82">
        <f>G19/F19-1</f>
        <v>2.8565808453905772E-2</v>
      </c>
      <c r="H11" s="83">
        <f>H19/G19-1</f>
        <v>1.8699135164998548E-2</v>
      </c>
      <c r="I11" s="84">
        <f>SUM(I8:I10)</f>
        <v>3.5000000000000003E-2</v>
      </c>
      <c r="J11" s="84">
        <f>SUM(J8:J10)</f>
        <v>-3.0061052271359939E-2</v>
      </c>
      <c r="K11" s="84">
        <f>SUM(K8:K10)</f>
        <v>4.4999999999999998E-2</v>
      </c>
      <c r="L11" s="84">
        <f>SUM(L8:L10)</f>
        <v>0.04</v>
      </c>
      <c r="M11" s="84">
        <f>SUM(M8:M10)</f>
        <v>0.03</v>
      </c>
    </row>
    <row r="12" spans="2:13">
      <c r="B12" s="67" t="s">
        <v>390</v>
      </c>
      <c r="F12" s="51">
        <f>F20/F19</f>
        <v>0.28985443895615681</v>
      </c>
      <c r="G12" s="51">
        <f>G20/G19</f>
        <v>0.30077983893244936</v>
      </c>
      <c r="H12" s="69">
        <f>H20/H19</f>
        <v>0.31336434367243071</v>
      </c>
      <c r="I12" s="73">
        <v>0.315</v>
      </c>
      <c r="J12" s="73">
        <v>0.33500000000000002</v>
      </c>
      <c r="K12" s="73">
        <v>0.33700000000000002</v>
      </c>
      <c r="L12" s="73">
        <v>0.33800000000000002</v>
      </c>
      <c r="M12" s="73">
        <v>0.33800000000000002</v>
      </c>
    </row>
    <row r="13" spans="2:13">
      <c r="B13" s="67" t="s">
        <v>391</v>
      </c>
      <c r="C13" s="3" t="s">
        <v>392</v>
      </c>
      <c r="F13" s="51">
        <f>IS!F22</f>
        <v>0.17364113650401483</v>
      </c>
      <c r="G13" s="51">
        <f>IS!G22</f>
        <v>0.18622955830658719</v>
      </c>
      <c r="H13" s="69">
        <f>IS!H22</f>
        <v>0.17883485435679461</v>
      </c>
      <c r="I13" s="73">
        <v>0.2</v>
      </c>
      <c r="J13" s="73">
        <v>0.2</v>
      </c>
      <c r="K13" s="73">
        <v>0.2</v>
      </c>
      <c r="L13" s="73">
        <v>0.2</v>
      </c>
      <c r="M13" s="73">
        <v>0.2</v>
      </c>
    </row>
    <row r="14" spans="2:13">
      <c r="B14" s="67" t="s">
        <v>202</v>
      </c>
      <c r="F14" s="51">
        <f>F23/F19</f>
        <v>2.4653582200463348E-2</v>
      </c>
      <c r="G14" s="51">
        <f>G23/G19</f>
        <v>2.2842693525424448E-2</v>
      </c>
      <c r="H14" s="69">
        <f>H23/H19</f>
        <v>2.1901921111366053E-2</v>
      </c>
      <c r="I14" s="73">
        <v>2.1999999999999999E-2</v>
      </c>
      <c r="J14" s="73">
        <v>0.02</v>
      </c>
      <c r="K14" s="73">
        <v>0.02</v>
      </c>
      <c r="L14" s="73">
        <v>0.02</v>
      </c>
      <c r="M14" s="73">
        <v>0.02</v>
      </c>
    </row>
    <row r="15" spans="2:13">
      <c r="B15" s="67" t="s">
        <v>203</v>
      </c>
      <c r="F15" s="74">
        <f>-F24/F19</f>
        <v>4.0477335314945143E-2</v>
      </c>
      <c r="G15" s="74">
        <f>-G24/G19</f>
        <v>4.3857971568814942E-2</v>
      </c>
      <c r="H15" s="75">
        <f>-H24/H19</f>
        <v>4.4054149892576291E-2</v>
      </c>
      <c r="I15" s="76">
        <v>4.3999999999999997E-2</v>
      </c>
      <c r="J15" s="76">
        <v>3.9E-2</v>
      </c>
      <c r="K15" s="76">
        <v>3.7999999999999999E-2</v>
      </c>
      <c r="L15" s="76">
        <v>3.6999999999999998E-2</v>
      </c>
      <c r="M15" s="76">
        <v>3.5999999999999997E-2</v>
      </c>
    </row>
    <row r="16" spans="2:13">
      <c r="B16" s="67" t="s">
        <v>393</v>
      </c>
      <c r="F16" s="51">
        <f>F28/F19</f>
        <v>-5.2804126415176816E-2</v>
      </c>
      <c r="G16" s="51">
        <f>G28/G19</f>
        <v>-9.1179532946601222E-2</v>
      </c>
      <c r="H16" s="69">
        <f>H28/H19</f>
        <v>-0.10256356771865417</v>
      </c>
      <c r="I16" s="73">
        <v>-0.1</v>
      </c>
      <c r="J16" s="73">
        <v>-0.1</v>
      </c>
      <c r="K16" s="73">
        <v>-0.1</v>
      </c>
      <c r="L16" s="73">
        <v>-0.1</v>
      </c>
      <c r="M16" s="73">
        <v>-0.1</v>
      </c>
    </row>
    <row r="17" spans="2:13">
      <c r="H17" s="68"/>
    </row>
    <row r="18" spans="2:13" ht="13" customHeight="1">
      <c r="B18" s="5" t="s">
        <v>394</v>
      </c>
      <c r="H18" s="68"/>
    </row>
    <row r="19" spans="2:13">
      <c r="B19" s="3" t="s">
        <v>395</v>
      </c>
      <c r="F19" s="55">
        <f>IS!F6</f>
        <v>45754</v>
      </c>
      <c r="G19" s="55">
        <f>IS!G6</f>
        <v>47061</v>
      </c>
      <c r="H19" s="70">
        <f>IS!H6</f>
        <v>47941</v>
      </c>
      <c r="I19" s="28">
        <f>H19*(1+I11)</f>
        <v>49618.934999999998</v>
      </c>
      <c r="J19" s="28">
        <f>I19*(1+J11)</f>
        <v>48127.33760131579</v>
      </c>
      <c r="K19" s="28">
        <f>J19*(1+K11)</f>
        <v>50293.067793374998</v>
      </c>
      <c r="L19" s="28">
        <f>K19*(1+L11)</f>
        <v>52304.790505110002</v>
      </c>
      <c r="M19" s="28">
        <f>L19*(1+M11)</f>
        <v>53873.934220263305</v>
      </c>
    </row>
    <row r="20" spans="2:13">
      <c r="B20" s="3" t="s">
        <v>241</v>
      </c>
      <c r="F20" s="55">
        <f>Adj!F8</f>
        <v>13262</v>
      </c>
      <c r="G20" s="55">
        <f>Adj!G8</f>
        <v>14155</v>
      </c>
      <c r="H20" s="70">
        <f>Adj!H8</f>
        <v>15023</v>
      </c>
      <c r="I20" s="28">
        <f>I12*I19</f>
        <v>15629.964524999999</v>
      </c>
      <c r="J20" s="28">
        <f>J12*J19</f>
        <v>16122.658096440791</v>
      </c>
      <c r="K20" s="28">
        <f>K12*K19</f>
        <v>16948.763846367376</v>
      </c>
      <c r="L20" s="28">
        <f>L12*L19</f>
        <v>17679.019190727184</v>
      </c>
      <c r="M20" s="28">
        <f>M12*M19</f>
        <v>18209.389766449</v>
      </c>
    </row>
    <row r="21" spans="2:13">
      <c r="B21" s="3" t="s">
        <v>396</v>
      </c>
      <c r="F21" s="28">
        <f>-F13*F20</f>
        <v>-2302.8287523162448</v>
      </c>
      <c r="G21" s="28">
        <f>-G13*G20</f>
        <v>-2636.0793978297415</v>
      </c>
      <c r="H21" s="71">
        <f>-H13*H20</f>
        <v>-2686.6360170021253</v>
      </c>
      <c r="I21" s="47">
        <f>-I20*I13</f>
        <v>-3125.9929050000001</v>
      </c>
      <c r="J21" s="47">
        <f>-J20*J13</f>
        <v>-3224.5316192881583</v>
      </c>
      <c r="K21" s="47">
        <f>-K20*K13</f>
        <v>-3389.7527692734752</v>
      </c>
      <c r="L21" s="47">
        <f>-L20*L13</f>
        <v>-3535.8038381454371</v>
      </c>
      <c r="M21" s="47">
        <f>-M20*M13</f>
        <v>-3641.8779532898002</v>
      </c>
    </row>
    <row r="22" spans="2:13" ht="13" customHeight="1">
      <c r="B22" s="40" t="s">
        <v>397</v>
      </c>
      <c r="C22" s="38"/>
      <c r="D22" s="38"/>
      <c r="E22" s="38"/>
      <c r="F22" s="37">
        <f t="shared" ref="F22:M22" si="1">F20+F21</f>
        <v>10959.171247683755</v>
      </c>
      <c r="G22" s="37">
        <f t="shared" si="1"/>
        <v>11518.920602170259</v>
      </c>
      <c r="H22" s="72">
        <f t="shared" si="1"/>
        <v>12336.363982997875</v>
      </c>
      <c r="I22" s="48">
        <f t="shared" si="1"/>
        <v>12503.97162</v>
      </c>
      <c r="J22" s="48">
        <f t="shared" si="1"/>
        <v>12898.126477152633</v>
      </c>
      <c r="K22" s="48">
        <f t="shared" si="1"/>
        <v>13559.011077093901</v>
      </c>
      <c r="L22" s="48">
        <f t="shared" si="1"/>
        <v>14143.215352581747</v>
      </c>
      <c r="M22" s="48">
        <f t="shared" si="1"/>
        <v>14567.511813159199</v>
      </c>
    </row>
    <row r="23" spans="2:13">
      <c r="B23" s="3" t="s">
        <v>242</v>
      </c>
      <c r="F23" s="55">
        <f>CF!F7</f>
        <v>1128</v>
      </c>
      <c r="G23" s="55">
        <f>CF!G7</f>
        <v>1075</v>
      </c>
      <c r="H23" s="70">
        <f>CF!H7</f>
        <v>1050</v>
      </c>
      <c r="I23" s="47">
        <f>I19*I14</f>
        <v>1091.6165699999999</v>
      </c>
      <c r="J23" s="47">
        <f>J19*J14</f>
        <v>962.54675202631586</v>
      </c>
      <c r="K23" s="47">
        <f>K19*K14</f>
        <v>1005.8613558674999</v>
      </c>
      <c r="L23" s="47">
        <f>L19*L14</f>
        <v>1046.0958101022002</v>
      </c>
      <c r="M23" s="47">
        <f>M19*M14</f>
        <v>1077.4786844052662</v>
      </c>
    </row>
    <row r="24" spans="2:13">
      <c r="B24" s="3" t="s">
        <v>398</v>
      </c>
      <c r="F24" s="55">
        <f>CF!F17</f>
        <v>-1852</v>
      </c>
      <c r="G24" s="55">
        <f>CF!G17</f>
        <v>-2064</v>
      </c>
      <c r="H24" s="70">
        <f>CF!H17</f>
        <v>-2112</v>
      </c>
      <c r="I24" s="28">
        <f>-I19*I15</f>
        <v>-2183.2331399999998</v>
      </c>
      <c r="J24" s="28">
        <f>-J19*J15</f>
        <v>-1876.9661664513158</v>
      </c>
      <c r="K24" s="28">
        <f>-K19*K15</f>
        <v>-1911.1365761482498</v>
      </c>
      <c r="L24" s="28">
        <f>-L19*L15</f>
        <v>-1935.2772486890699</v>
      </c>
      <c r="M24" s="28">
        <f>-M19*M15</f>
        <v>-1939.4616319294789</v>
      </c>
    </row>
    <row r="25" spans="2:13">
      <c r="B25" s="3" t="s">
        <v>399</v>
      </c>
      <c r="F25" s="66"/>
      <c r="G25" s="55">
        <f>NWC!G13</f>
        <v>1875</v>
      </c>
      <c r="H25" s="70">
        <f>NWC!H13</f>
        <v>626</v>
      </c>
      <c r="I25" s="28">
        <f>H28-I28</f>
        <v>44.893500000000131</v>
      </c>
      <c r="J25" s="28">
        <f>I28-J28</f>
        <v>-149.15973986842073</v>
      </c>
      <c r="K25" s="28">
        <f>J28-K28</f>
        <v>216.5730192059209</v>
      </c>
      <c r="L25" s="28">
        <f>K28-L28</f>
        <v>201.17227117350012</v>
      </c>
      <c r="M25" s="28">
        <f>L28-M28</f>
        <v>156.91437151533046</v>
      </c>
    </row>
    <row r="26" spans="2:13" ht="13" customHeight="1">
      <c r="B26" s="40" t="s">
        <v>394</v>
      </c>
      <c r="C26" s="40"/>
      <c r="D26" s="40"/>
      <c r="E26" s="40"/>
      <c r="F26" s="37"/>
      <c r="G26" s="37">
        <f t="shared" ref="G26:M26" si="2">SUM(G22:G25)</f>
        <v>12404.920602170259</v>
      </c>
      <c r="H26" s="72">
        <f t="shared" si="2"/>
        <v>11900.363982997875</v>
      </c>
      <c r="I26" s="37">
        <f t="shared" si="2"/>
        <v>11457.24855</v>
      </c>
      <c r="J26" s="37">
        <f t="shared" si="2"/>
        <v>11834.547322859213</v>
      </c>
      <c r="K26" s="37">
        <f t="shared" si="2"/>
        <v>12870.308876019073</v>
      </c>
      <c r="L26" s="37">
        <f t="shared" si="2"/>
        <v>13455.206185168377</v>
      </c>
      <c r="M26" s="37">
        <f t="shared" si="2"/>
        <v>13862.443237150317</v>
      </c>
    </row>
    <row r="27" spans="2:13">
      <c r="H27" s="68"/>
    </row>
    <row r="28" spans="2:13">
      <c r="B28" s="3" t="s">
        <v>400</v>
      </c>
      <c r="F28" s="55">
        <f>NWC!F11</f>
        <v>-2416</v>
      </c>
      <c r="G28" s="55">
        <f>NWC!G11</f>
        <v>-4291</v>
      </c>
      <c r="H28" s="70">
        <f>NWC!H11</f>
        <v>-4917</v>
      </c>
      <c r="I28" s="28">
        <f>I16*I19</f>
        <v>-4961.8935000000001</v>
      </c>
      <c r="J28" s="28">
        <f>J16*J19</f>
        <v>-4812.7337601315794</v>
      </c>
      <c r="K28" s="28">
        <f>K16*K19</f>
        <v>-5029.3067793375003</v>
      </c>
      <c r="L28" s="28">
        <f>L16*L19</f>
        <v>-5230.4790505110004</v>
      </c>
      <c r="M28" s="28">
        <f>M16*M19</f>
        <v>-5387.3934220263309</v>
      </c>
    </row>
    <row r="29" spans="2:13">
      <c r="B29" s="3" t="s">
        <v>401</v>
      </c>
      <c r="F29" s="28">
        <f t="shared" ref="F29:M29" si="3">F20+F23</f>
        <v>14390</v>
      </c>
      <c r="G29" s="28">
        <f t="shared" si="3"/>
        <v>15230</v>
      </c>
      <c r="H29" s="71">
        <f t="shared" si="3"/>
        <v>16073</v>
      </c>
      <c r="I29" s="28">
        <f t="shared" si="3"/>
        <v>16721.581094999998</v>
      </c>
      <c r="J29" s="28">
        <f t="shared" si="3"/>
        <v>17085.204848467107</v>
      </c>
      <c r="K29" s="28">
        <f t="shared" si="3"/>
        <v>17954.625202234874</v>
      </c>
      <c r="L29" s="28">
        <f t="shared" si="3"/>
        <v>18725.115000829384</v>
      </c>
      <c r="M29" s="28">
        <f t="shared" si="3"/>
        <v>19286.868450854265</v>
      </c>
    </row>
    <row r="31" spans="2:13" ht="13" customHeight="1">
      <c r="B31" s="107" t="s">
        <v>402</v>
      </c>
      <c r="C31" s="135"/>
      <c r="D31" s="135"/>
    </row>
    <row r="32" spans="2:13" ht="13" customHeight="1">
      <c r="B32" s="4" t="s">
        <v>403</v>
      </c>
    </row>
    <row r="33" spans="2:4">
      <c r="B33" s="3" t="s">
        <v>404</v>
      </c>
      <c r="D33" s="28">
        <f>M26</f>
        <v>13862.443237150317</v>
      </c>
    </row>
    <row r="34" spans="2:4">
      <c r="B34" s="3" t="s">
        <v>405</v>
      </c>
      <c r="C34" s="3" t="s">
        <v>406</v>
      </c>
      <c r="D34" s="73">
        <v>0.03</v>
      </c>
    </row>
    <row r="35" spans="2:4" ht="14" customHeight="1">
      <c r="B35" s="3" t="s">
        <v>282</v>
      </c>
      <c r="C35" s="3" t="s">
        <v>407</v>
      </c>
      <c r="D35" s="148">
        <f>ROUND(WACC!D29,4)</f>
        <v>7.6499999999999999E-2</v>
      </c>
    </row>
    <row r="36" spans="2:4" ht="14" customHeight="1">
      <c r="B36" s="110" t="s">
        <v>408</v>
      </c>
      <c r="C36" s="122"/>
      <c r="D36" s="140">
        <f>D33*(1+D34)/(D35-D34)</f>
        <v>307060.57062935113</v>
      </c>
    </row>
    <row r="37" spans="2:4" ht="14" customHeight="1">
      <c r="B37" s="31" t="s">
        <v>409</v>
      </c>
      <c r="D37" s="149">
        <f>D36/M29</f>
        <v>15.92070643359164</v>
      </c>
    </row>
    <row r="38" spans="2:4" ht="14" customHeight="1">
      <c r="B38" s="31" t="s">
        <v>410</v>
      </c>
      <c r="D38" s="149">
        <f>D36/(M29*(1+D34))</f>
        <v>15.456996537467612</v>
      </c>
    </row>
    <row r="39" spans="2:4" ht="14" customHeight="1"/>
    <row r="40" spans="2:4" ht="14" customHeight="1">
      <c r="B40" s="136" t="s">
        <v>411</v>
      </c>
    </row>
    <row r="41" spans="2:4" ht="14" customHeight="1">
      <c r="B41" s="3" t="s">
        <v>412</v>
      </c>
      <c r="D41" s="28">
        <f>M29</f>
        <v>19286.868450854265</v>
      </c>
    </row>
    <row r="42" spans="2:4" ht="14" customHeight="1">
      <c r="B42" s="3" t="s">
        <v>413</v>
      </c>
      <c r="C42" s="3" t="s">
        <v>414</v>
      </c>
      <c r="D42" s="137">
        <v>18</v>
      </c>
    </row>
    <row r="43" spans="2:4" ht="14" customHeight="1">
      <c r="B43" s="110" t="s">
        <v>408</v>
      </c>
      <c r="C43" s="122"/>
      <c r="D43" s="140">
        <f>D41*D42</f>
        <v>347163.63211537676</v>
      </c>
    </row>
    <row r="44" spans="2:4" ht="14" customHeight="1">
      <c r="B44" s="31" t="s">
        <v>415</v>
      </c>
      <c r="D44" s="150">
        <f>(D43*D35-D33)/(D43+D33)</f>
        <v>3.5165256712494521E-2</v>
      </c>
    </row>
    <row r="45" spans="2:4" ht="14" customHeight="1"/>
    <row r="46" spans="2:4" ht="14" customHeight="1">
      <c r="B46" s="4" t="s">
        <v>416</v>
      </c>
      <c r="C46" s="3" t="s">
        <v>417</v>
      </c>
    </row>
    <row r="47" spans="2:4" ht="14" customHeight="1">
      <c r="B47" s="3" t="s">
        <v>4</v>
      </c>
      <c r="D47" s="197">
        <f>Comp!D41</f>
        <v>11.39217032967033</v>
      </c>
    </row>
    <row r="48" spans="2:4" ht="14" customHeight="1">
      <c r="B48" s="3" t="s">
        <v>5</v>
      </c>
      <c r="D48" s="197">
        <f>Comp!E41</f>
        <v>11.866434729995461</v>
      </c>
    </row>
    <row r="49" spans="2:13" ht="14" customHeight="1">
      <c r="B49" s="3" t="s">
        <v>6</v>
      </c>
      <c r="D49" s="197">
        <f>Comp!F41</f>
        <v>26.633186730762681</v>
      </c>
    </row>
    <row r="50" spans="2:13" ht="14" customHeight="1">
      <c r="B50" s="3" t="s">
        <v>288</v>
      </c>
      <c r="D50" s="197">
        <f>Comp!G41</f>
        <v>13.285614387609689</v>
      </c>
    </row>
    <row r="51" spans="2:13" ht="14" customHeight="1">
      <c r="B51" s="138" t="s">
        <v>46</v>
      </c>
      <c r="C51" s="122"/>
      <c r="D51" s="139">
        <f>MEDIAN(D47:D50)</f>
        <v>12.576024558802576</v>
      </c>
    </row>
    <row r="52" spans="2:13" ht="14" customHeight="1">
      <c r="B52" s="3" t="s">
        <v>418</v>
      </c>
      <c r="D52" s="137">
        <v>23.47</v>
      </c>
    </row>
    <row r="53" spans="2:13" ht="14" customHeight="1"/>
    <row r="54" spans="2:13" ht="14" customHeight="1">
      <c r="B54" s="107" t="s">
        <v>419</v>
      </c>
    </row>
    <row r="55" spans="2:13">
      <c r="B55" s="3" t="s">
        <v>420</v>
      </c>
      <c r="D55" s="151">
        <v>46295</v>
      </c>
    </row>
    <row r="56" spans="2:13">
      <c r="B56" s="3" t="s">
        <v>421</v>
      </c>
      <c r="I56" s="152">
        <f>DATE(I5,12,31)</f>
        <v>46387</v>
      </c>
      <c r="J56" s="152">
        <f>DATE(J5,12,31)</f>
        <v>46752</v>
      </c>
      <c r="K56" s="152">
        <f>DATE(K5,12,31)</f>
        <v>47118</v>
      </c>
      <c r="L56" s="152">
        <f>DATE(L5,12,31)</f>
        <v>47483</v>
      </c>
      <c r="M56" s="152">
        <f>DATE(M5,12,31)</f>
        <v>47848</v>
      </c>
    </row>
    <row r="57" spans="2:13" ht="13" customHeight="1">
      <c r="B57" s="31" t="s">
        <v>422</v>
      </c>
      <c r="I57" s="153">
        <f>MIN(1,(I56-$D$55)/365)</f>
        <v>0.25205479452054796</v>
      </c>
      <c r="J57" s="153">
        <f>MIN(1,(J56-$D$55)/365)</f>
        <v>1</v>
      </c>
      <c r="K57" s="153">
        <f>MIN(1,(K56-$D$55)/365)</f>
        <v>1</v>
      </c>
      <c r="L57" s="153">
        <f>MIN(1,(L56-$D$55)/365)</f>
        <v>1</v>
      </c>
      <c r="M57" s="153">
        <f>MIN(1,(M56-$D$55)/365)</f>
        <v>1</v>
      </c>
    </row>
    <row r="58" spans="2:13">
      <c r="B58" s="3" t="s">
        <v>423</v>
      </c>
      <c r="I58" s="28">
        <f>I26*I57</f>
        <v>2887.854429041096</v>
      </c>
      <c r="J58" s="28">
        <f>J26*J57</f>
        <v>11834.547322859213</v>
      </c>
      <c r="K58" s="28">
        <f>K26*K57</f>
        <v>12870.308876019073</v>
      </c>
      <c r="L58" s="28">
        <f>L26*L57</f>
        <v>13455.206185168377</v>
      </c>
      <c r="M58" s="28">
        <f>M26*M57</f>
        <v>13862.443237150317</v>
      </c>
    </row>
    <row r="59" spans="2:13">
      <c r="B59" s="3" t="s">
        <v>424</v>
      </c>
      <c r="I59" s="115">
        <f>H59+H57/2+I57/2</f>
        <v>0.12602739726027398</v>
      </c>
      <c r="J59" s="115">
        <f>I59+I57/2+J57/2</f>
        <v>0.75205479452054802</v>
      </c>
      <c r="K59" s="115">
        <f>J59+J57/2+K57/2</f>
        <v>1.752054794520548</v>
      </c>
      <c r="L59" s="115">
        <f>K59+K57/2+L57/2</f>
        <v>2.7520547945205482</v>
      </c>
      <c r="M59" s="115">
        <f>L59+L57/2+M57/2</f>
        <v>3.7520547945205482</v>
      </c>
    </row>
    <row r="60" spans="2:13">
      <c r="B60" s="3" t="s">
        <v>425</v>
      </c>
      <c r="H60" s="141"/>
      <c r="I60" s="154">
        <f>1/(1+$D$35)^I59</f>
        <v>0.99075290543402594</v>
      </c>
      <c r="J60" s="154">
        <f>1/(1+$D$35)^J59</f>
        <v>0.94607091700114854</v>
      </c>
      <c r="K60" s="154">
        <f>1/(1+$D$35)^K59</f>
        <v>0.87883968137589252</v>
      </c>
      <c r="L60" s="154">
        <f>1/(1+$D$35)^L59</f>
        <v>0.81638614154750822</v>
      </c>
      <c r="M60" s="154">
        <f>1/(1+$D$35)^M59</f>
        <v>0.75837077709940381</v>
      </c>
    </row>
    <row r="61" spans="2:13" ht="13" customHeight="1">
      <c r="B61" s="110" t="s">
        <v>426</v>
      </c>
      <c r="C61" s="122"/>
      <c r="D61" s="122"/>
      <c r="E61" s="122"/>
      <c r="F61" s="122"/>
      <c r="G61" s="122"/>
      <c r="H61" s="122"/>
      <c r="I61" s="140">
        <f>I58*I60</f>
        <v>2861.1501660429858</v>
      </c>
      <c r="J61" s="140">
        <f>J58*J60</f>
        <v>11196.321038030903</v>
      </c>
      <c r="K61" s="140">
        <f>K58*K60</f>
        <v>11310.938151809924</v>
      </c>
      <c r="L61" s="140">
        <f>L58*L60</f>
        <v>10984.64386123578</v>
      </c>
      <c r="M61" s="140">
        <f>M58*M60</f>
        <v>10512.871850254061</v>
      </c>
    </row>
    <row r="63" spans="2:13" ht="16" customHeight="1">
      <c r="B63" s="107" t="s">
        <v>17</v>
      </c>
      <c r="C63" s="155"/>
      <c r="D63" s="156" t="s">
        <v>427</v>
      </c>
      <c r="E63" s="156" t="s">
        <v>428</v>
      </c>
    </row>
    <row r="64" spans="2:13">
      <c r="B64" s="3" t="s">
        <v>429</v>
      </c>
      <c r="D64" s="28">
        <f>SUM(I61:M61)</f>
        <v>46865.925067373653</v>
      </c>
      <c r="E64" s="28">
        <f>SUM(I61:M61)</f>
        <v>46865.925067373653</v>
      </c>
    </row>
    <row r="65" spans="2:5">
      <c r="B65" s="3" t="s">
        <v>408</v>
      </c>
      <c r="D65" s="28">
        <f>D36</f>
        <v>307060.57062935113</v>
      </c>
      <c r="E65" s="28">
        <f>D43</f>
        <v>347163.63211537676</v>
      </c>
    </row>
    <row r="66" spans="2:5">
      <c r="B66" s="3" t="s">
        <v>430</v>
      </c>
      <c r="D66" s="115">
        <f>M59</f>
        <v>3.7520547945205482</v>
      </c>
      <c r="E66" s="115">
        <f>M59+M57/2</f>
        <v>4.2520547945205482</v>
      </c>
    </row>
    <row r="67" spans="2:5">
      <c r="B67" s="3" t="s">
        <v>431</v>
      </c>
      <c r="D67" s="154">
        <f>1/(1+$D$35)^D66</f>
        <v>0.75837077709940381</v>
      </c>
      <c r="E67" s="154">
        <f>1/(1+$D$35)^E66</f>
        <v>0.73092795562892698</v>
      </c>
    </row>
    <row r="68" spans="2:5">
      <c r="B68" s="3" t="s">
        <v>432</v>
      </c>
      <c r="D68" s="28">
        <f>D65*D67</f>
        <v>232865.7635647674</v>
      </c>
      <c r="E68" s="28">
        <f>E65*E67</f>
        <v>253751.60389080524</v>
      </c>
    </row>
    <row r="69" spans="2:5" ht="13" customHeight="1">
      <c r="B69" s="110" t="s">
        <v>433</v>
      </c>
      <c r="C69" s="122"/>
      <c r="D69" s="157">
        <f>D64+D68</f>
        <v>279731.68863214104</v>
      </c>
      <c r="E69" s="157">
        <f>E64+E68</f>
        <v>300617.52895817888</v>
      </c>
    </row>
    <row r="70" spans="2:5" ht="13" customHeight="1">
      <c r="B70" s="31" t="s">
        <v>434</v>
      </c>
      <c r="D70" s="158">
        <f>D68/D69</f>
        <v>0.83246115126769105</v>
      </c>
      <c r="E70" s="158">
        <f>E68/E69</f>
        <v>0.84410115660988783</v>
      </c>
    </row>
    <row r="72" spans="2:5" ht="13" customHeight="1">
      <c r="B72" s="160" t="s">
        <v>435</v>
      </c>
      <c r="D72" s="5" t="s">
        <v>427</v>
      </c>
      <c r="E72" s="132" t="s">
        <v>428</v>
      </c>
    </row>
    <row r="73" spans="2:5">
      <c r="B73" s="122" t="s">
        <v>17</v>
      </c>
      <c r="C73" s="122"/>
      <c r="D73" s="163">
        <f>D69</f>
        <v>279731.68863214104</v>
      </c>
      <c r="E73" s="163">
        <f>E69</f>
        <v>300617.52895817888</v>
      </c>
    </row>
    <row r="74" spans="2:5">
      <c r="B74" s="3" t="s">
        <v>436</v>
      </c>
      <c r="C74" s="3" t="s">
        <v>437</v>
      </c>
      <c r="D74" s="161">
        <f>-WACC!D23</f>
        <v>-43543</v>
      </c>
      <c r="E74" s="161">
        <f>-WACC!D23</f>
        <v>-43543</v>
      </c>
    </row>
    <row r="75" spans="2:5">
      <c r="B75" s="3" t="s">
        <v>438</v>
      </c>
      <c r="C75" s="3" t="s">
        <v>337</v>
      </c>
      <c r="D75" s="118">
        <v>16371</v>
      </c>
      <c r="E75" s="118">
        <v>16371</v>
      </c>
    </row>
    <row r="76" spans="2:5">
      <c r="B76" s="3" t="s">
        <v>439</v>
      </c>
      <c r="C76" s="3" t="s">
        <v>440</v>
      </c>
      <c r="D76" s="161">
        <f>EMI!F22</f>
        <v>44977.55</v>
      </c>
      <c r="E76" s="161">
        <f>EMI!F22</f>
        <v>44977.55</v>
      </c>
    </row>
    <row r="77" spans="2:5">
      <c r="B77" s="3" t="s">
        <v>441</v>
      </c>
      <c r="C77" s="3" t="s">
        <v>337</v>
      </c>
      <c r="D77" s="118">
        <v>-2165</v>
      </c>
      <c r="E77" s="118">
        <v>-2165</v>
      </c>
    </row>
    <row r="78" spans="2:5">
      <c r="B78" s="3" t="s">
        <v>442</v>
      </c>
      <c r="C78" s="3" t="s">
        <v>443</v>
      </c>
      <c r="D78" s="161">
        <f>CCBA!D59</f>
        <v>1003.0608</v>
      </c>
      <c r="E78" s="161">
        <f>CCBA!D59</f>
        <v>1003.0608</v>
      </c>
    </row>
    <row r="79" spans="2:5">
      <c r="B79" s="3" t="s">
        <v>444</v>
      </c>
      <c r="C79" s="3" t="s">
        <v>443</v>
      </c>
      <c r="D79" s="161">
        <f>CCBA!D52</f>
        <v>1411.68</v>
      </c>
      <c r="E79" s="161">
        <f>CCBA!D52</f>
        <v>1411.68</v>
      </c>
    </row>
    <row r="80" spans="2:5">
      <c r="B80" s="3" t="s">
        <v>445</v>
      </c>
      <c r="C80" s="3" t="s">
        <v>443</v>
      </c>
      <c r="D80" s="161">
        <f>CCBA!D53</f>
        <v>850</v>
      </c>
      <c r="E80" s="161">
        <f>CCBA!D53</f>
        <v>850</v>
      </c>
    </row>
    <row r="81" spans="2:5" ht="13" customHeight="1">
      <c r="B81" s="110" t="s">
        <v>285</v>
      </c>
      <c r="C81" s="110"/>
      <c r="D81" s="162">
        <f>SUM(D73:D80)</f>
        <v>298636.979432141</v>
      </c>
      <c r="E81" s="162">
        <f>SUM(E73:E80)</f>
        <v>319522.81975817884</v>
      </c>
    </row>
    <row r="82" spans="2:5">
      <c r="B82" s="3" t="s">
        <v>273</v>
      </c>
      <c r="C82" s="3" t="s">
        <v>437</v>
      </c>
      <c r="D82" s="102">
        <f>WACC!D21</f>
        <v>4313</v>
      </c>
      <c r="E82" s="102">
        <f>WACC!D21</f>
        <v>4313</v>
      </c>
    </row>
    <row r="83" spans="2:5" ht="13" customHeight="1">
      <c r="B83" s="5" t="s">
        <v>446</v>
      </c>
      <c r="D83" s="164">
        <f>D81/D82</f>
        <v>69.241126694213079</v>
      </c>
      <c r="E83" s="164">
        <f>E81/E82</f>
        <v>74.083658650168985</v>
      </c>
    </row>
    <row r="84" spans="2:5">
      <c r="B84" s="3" t="s">
        <v>447</v>
      </c>
      <c r="C84" s="3" t="s">
        <v>437</v>
      </c>
      <c r="D84" s="165">
        <f>WACC!D20</f>
        <v>86.08</v>
      </c>
      <c r="E84" s="165">
        <f>WACC!D20</f>
        <v>86.08</v>
      </c>
    </row>
    <row r="85" spans="2:5" ht="13" customHeight="1">
      <c r="B85" s="4" t="s">
        <v>448</v>
      </c>
      <c r="D85" s="166">
        <f>D83/D84-1</f>
        <v>-0.19561888134046146</v>
      </c>
      <c r="E85" s="166">
        <f>E83/E84-1</f>
        <v>-0.1393627015547283</v>
      </c>
    </row>
    <row r="90" spans="2:5" ht="13" customHeight="1">
      <c r="B90" s="5" t="s">
        <v>51</v>
      </c>
    </row>
    <row r="91" spans="2:5">
      <c r="B91" s="3" t="s">
        <v>449</v>
      </c>
    </row>
    <row r="92" spans="2:5" ht="14" customHeight="1">
      <c r="B92" s="3" t="s">
        <v>450</v>
      </c>
    </row>
    <row r="93" spans="2:5" ht="14" customHeight="1">
      <c r="B93" s="3" t="s">
        <v>451</v>
      </c>
    </row>
    <row r="94" spans="2:5" ht="14" customHeight="1">
      <c r="B94" s="3" t="s">
        <v>452</v>
      </c>
    </row>
    <row r="95" spans="2:5" ht="14" customHeight="1">
      <c r="B95" s="3" t="s">
        <v>453</v>
      </c>
    </row>
    <row r="96" spans="2:5" ht="14" customHeight="1">
      <c r="B96" s="3" t="s">
        <v>454</v>
      </c>
    </row>
    <row r="97" spans="2:9" ht="14" customHeight="1">
      <c r="B97" s="3" t="s">
        <v>455</v>
      </c>
    </row>
    <row r="98" spans="2:9">
      <c r="B98" s="3" t="s">
        <v>456</v>
      </c>
    </row>
    <row r="99" spans="2:9">
      <c r="B99" s="3" t="s">
        <v>457</v>
      </c>
    </row>
    <row r="100" spans="2:9" ht="13" customHeight="1">
      <c r="B100" s="191" t="s">
        <v>458</v>
      </c>
    </row>
    <row r="101" spans="2:9">
      <c r="E101" s="196" t="s">
        <v>405</v>
      </c>
      <c r="F101" s="196"/>
      <c r="G101" s="196"/>
      <c r="H101" s="196"/>
      <c r="I101" s="196"/>
    </row>
    <row r="102" spans="2:9" ht="13" customHeight="1">
      <c r="D102" s="165">
        <f>D83</f>
        <v>69.241126694213079</v>
      </c>
      <c r="E102" s="192">
        <v>0.02</v>
      </c>
      <c r="F102" s="192">
        <v>2.5000000000000001E-2</v>
      </c>
      <c r="G102" s="192">
        <v>0.03</v>
      </c>
      <c r="H102" s="192">
        <v>3.5000000000000003E-2</v>
      </c>
      <c r="I102" s="192">
        <v>0.04</v>
      </c>
    </row>
    <row r="103" spans="2:9">
      <c r="D103" s="159">
        <v>6.6500000000000004E-2</v>
      </c>
      <c r="E103" s="194">
        <f t="dataTable" ref="E103:I107" dt2D="1" dtr="1" r1="D34" r2="D35" ca="1"/>
        <v>70.837804146141877</v>
      </c>
      <c r="F103" s="194">
        <v>77.813370258773531</v>
      </c>
      <c r="G103" s="194">
        <v>86.700050374865924</v>
      </c>
      <c r="H103" s="194">
        <v>98.407898781781299</v>
      </c>
      <c r="I103" s="194">
        <v>114.53380319130628</v>
      </c>
    </row>
    <row r="104" spans="2:9">
      <c r="D104" s="159">
        <v>7.1499999999999994E-2</v>
      </c>
      <c r="E104" s="194">
        <v>64.48337656336578</v>
      </c>
      <c r="F104" s="194">
        <v>70.032572186482881</v>
      </c>
      <c r="G104" s="194">
        <v>76.91892338143542</v>
      </c>
      <c r="H104" s="194">
        <v>85.691946136648966</v>
      </c>
      <c r="I104" s="194">
        <v>97.250055480819171</v>
      </c>
    </row>
    <row r="105" spans="2:9">
      <c r="C105" s="193" t="s">
        <v>282</v>
      </c>
      <c r="D105" s="159">
        <v>7.6499999999999999E-2</v>
      </c>
      <c r="E105" s="194">
        <v>59.253678357736142</v>
      </c>
      <c r="F105" s="194">
        <v>63.762574936825246</v>
      </c>
      <c r="G105" s="194">
        <v>69.241126694213079</v>
      </c>
      <c r="H105" s="194">
        <v>76.039811405188345</v>
      </c>
      <c r="I105" s="194">
        <v>84.701149461636277</v>
      </c>
    </row>
    <row r="106" spans="2:9">
      <c r="D106" s="159">
        <v>8.1500000000000003E-2</v>
      </c>
      <c r="E106" s="194">
        <v>54.874382115739046</v>
      </c>
      <c r="F106" s="194">
        <v>58.602279124705731</v>
      </c>
      <c r="G106" s="194">
        <v>63.054039630559139</v>
      </c>
      <c r="H106" s="194">
        <v>68.46316798713373</v>
      </c>
      <c r="I106" s="194">
        <v>75.17570076697929</v>
      </c>
    </row>
    <row r="107" spans="2:9">
      <c r="D107" s="159">
        <v>8.6499999999999994E-2</v>
      </c>
      <c r="E107" s="194">
        <v>51.153664994262193</v>
      </c>
      <c r="F107" s="194">
        <v>54.281024244409757</v>
      </c>
      <c r="G107" s="194">
        <v>57.961898406087855</v>
      </c>
      <c r="H107" s="194">
        <v>62.357505414693748</v>
      </c>
      <c r="I107" s="194">
        <v>67.698404253107356</v>
      </c>
    </row>
    <row r="111" spans="2:9" ht="13" customHeight="1">
      <c r="B111" s="191" t="s">
        <v>459</v>
      </c>
    </row>
    <row r="112" spans="2:9">
      <c r="E112" s="196" t="s">
        <v>413</v>
      </c>
      <c r="F112" s="196"/>
      <c r="G112" s="196"/>
      <c r="H112" s="196"/>
      <c r="I112" s="196"/>
    </row>
    <row r="113" spans="3:9" ht="13" customHeight="1">
      <c r="D113" s="165">
        <f>E83</f>
        <v>74.083658650168985</v>
      </c>
      <c r="E113" s="195">
        <v>16</v>
      </c>
      <c r="F113" s="195">
        <v>17</v>
      </c>
      <c r="G113" s="195">
        <v>18</v>
      </c>
      <c r="H113" s="195">
        <v>19</v>
      </c>
      <c r="I113" s="195">
        <v>20</v>
      </c>
    </row>
    <row r="114" spans="3:9">
      <c r="D114" s="159">
        <v>6.6500000000000004E-2</v>
      </c>
      <c r="E114" s="194">
        <f t="dataTable" ref="E114:I118" dt2D="1" dtr="1" r1="D42" r2="D35"/>
        <v>69.879016319291651</v>
      </c>
      <c r="F114" s="194">
        <v>73.279895098722264</v>
      </c>
      <c r="G114" s="194">
        <v>76.680773878152877</v>
      </c>
      <c r="H114" s="194">
        <v>80.081652657583476</v>
      </c>
      <c r="I114" s="194">
        <v>83.482531437014089</v>
      </c>
    </row>
    <row r="115" spans="3:9">
      <c r="D115" s="159">
        <v>7.1499999999999994E-2</v>
      </c>
      <c r="E115" s="194">
        <v>68.69885521633303</v>
      </c>
      <c r="F115" s="194">
        <v>72.03276533401521</v>
      </c>
      <c r="G115" s="194">
        <v>75.36667545169739</v>
      </c>
      <c r="H115" s="194">
        <v>78.70058556937957</v>
      </c>
      <c r="I115" s="194">
        <v>82.034495687061749</v>
      </c>
    </row>
    <row r="116" spans="3:9">
      <c r="C116" s="193" t="s">
        <v>282</v>
      </c>
      <c r="D116" s="159">
        <v>7.6499999999999999E-2</v>
      </c>
      <c r="E116" s="194">
        <v>67.54653306367841</v>
      </c>
      <c r="F116" s="194">
        <v>70.815095856923691</v>
      </c>
      <c r="G116" s="194">
        <v>74.083658650168985</v>
      </c>
      <c r="H116" s="194">
        <v>77.35222144341428</v>
      </c>
      <c r="I116" s="194">
        <v>80.620784236659588</v>
      </c>
    </row>
    <row r="117" spans="3:9">
      <c r="D117" s="159">
        <v>8.1500000000000003E-2</v>
      </c>
      <c r="E117" s="194">
        <v>66.421261743159178</v>
      </c>
      <c r="F117" s="194">
        <v>69.626052036871911</v>
      </c>
      <c r="G117" s="194">
        <v>72.830842330584616</v>
      </c>
      <c r="H117" s="194">
        <v>76.035632624297349</v>
      </c>
      <c r="I117" s="194">
        <v>79.240422918010069</v>
      </c>
    </row>
    <row r="118" spans="3:9">
      <c r="D118" s="159">
        <v>8.6499999999999994E-2</v>
      </c>
      <c r="E118" s="194">
        <v>65.322279029487589</v>
      </c>
      <c r="F118" s="194">
        <v>68.464826676842847</v>
      </c>
      <c r="G118" s="194">
        <v>71.607374324198105</v>
      </c>
      <c r="H118" s="194">
        <v>74.749921971553363</v>
      </c>
      <c r="I118" s="194">
        <v>77.892469618908606</v>
      </c>
    </row>
  </sheetData>
  <mergeCells count="2">
    <mergeCell ref="D4:H4"/>
    <mergeCell ref="I4:M4"/>
  </mergeCells>
  <conditionalFormatting sqref="E103:I107">
    <cfRule type="cellIs" dxfId="1" priority="1" operator="greaterThanOrEqual">
      <formula>$D$84</formula>
    </cfRule>
  </conditionalFormatting>
  <conditionalFormatting sqref="E114:I118">
    <cfRule type="cellIs" dxfId="0" priority="2" operator="greaterThanOrEqual">
      <formula>$D$84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102"/>
  <sheetViews>
    <sheetView showGridLines="0" zoomScale="70" zoomScaleNormal="70" workbookViewId="0">
      <pane xSplit="2" ySplit="5" topLeftCell="C20" activePane="bottomRight" state="frozen"/>
      <selection pane="topRight"/>
      <selection pane="bottomLeft"/>
      <selection pane="bottomRight" activeCell="K69" sqref="K68:K69"/>
    </sheetView>
  </sheetViews>
  <sheetFormatPr defaultRowHeight="12.5"/>
  <cols>
    <col min="1" max="1" width="2.58203125" style="3" customWidth="1"/>
    <col min="2" max="2" width="56.6640625" style="3" customWidth="1"/>
    <col min="3" max="3" width="12.33203125" style="3" bestFit="1" customWidth="1"/>
    <col min="4" max="7" width="15.58203125" style="3" customWidth="1"/>
    <col min="8" max="8" width="3" style="3" customWidth="1"/>
    <col min="9" max="13" width="10" style="3" customWidth="1"/>
    <col min="14" max="16384" width="8.6640625" style="3"/>
  </cols>
  <sheetData>
    <row r="1" spans="2:7" ht="13">
      <c r="B1" s="106" t="s">
        <v>0</v>
      </c>
    </row>
    <row r="2" spans="2:7" ht="13">
      <c r="B2" s="106" t="s">
        <v>1</v>
      </c>
    </row>
    <row r="3" spans="2:7">
      <c r="B3" s="105" t="s">
        <v>2</v>
      </c>
    </row>
    <row r="5" spans="2:7" ht="13">
      <c r="B5" s="198" t="s">
        <v>3</v>
      </c>
      <c r="C5" s="214"/>
      <c r="D5" s="199" t="s">
        <v>4</v>
      </c>
      <c r="E5" s="199" t="s">
        <v>5</v>
      </c>
      <c r="F5" s="199" t="s">
        <v>6</v>
      </c>
      <c r="G5" s="199" t="s">
        <v>7</v>
      </c>
    </row>
    <row r="6" spans="2:7">
      <c r="B6" s="105" t="s">
        <v>8</v>
      </c>
      <c r="D6" s="200" t="s">
        <v>9</v>
      </c>
      <c r="E6" s="200" t="s">
        <v>10</v>
      </c>
      <c r="F6" s="200" t="s">
        <v>11</v>
      </c>
      <c r="G6" s="200" t="s">
        <v>7</v>
      </c>
    </row>
    <row r="7" spans="2:7">
      <c r="B7" s="105" t="s">
        <v>12</v>
      </c>
      <c r="D7" s="200" t="s">
        <v>13</v>
      </c>
      <c r="E7" s="200" t="s">
        <v>13</v>
      </c>
      <c r="F7" s="200" t="s">
        <v>13</v>
      </c>
      <c r="G7" s="200" t="s">
        <v>14</v>
      </c>
    </row>
    <row r="8" spans="2:7">
      <c r="B8" s="105" t="s">
        <v>15</v>
      </c>
      <c r="D8" s="201">
        <v>46186</v>
      </c>
      <c r="E8" s="201">
        <v>46203</v>
      </c>
      <c r="F8" s="201">
        <v>46203</v>
      </c>
      <c r="G8" s="201">
        <v>46206</v>
      </c>
    </row>
    <row r="9" spans="2:7">
      <c r="B9" s="105" t="s">
        <v>16</v>
      </c>
      <c r="D9" s="202">
        <v>1</v>
      </c>
      <c r="E9" s="202">
        <v>1</v>
      </c>
      <c r="F9" s="202">
        <v>1</v>
      </c>
      <c r="G9" s="202">
        <v>1.1355</v>
      </c>
    </row>
    <row r="11" spans="2:7" ht="13">
      <c r="B11" s="198" t="s">
        <v>17</v>
      </c>
      <c r="C11" s="214"/>
      <c r="D11" s="214"/>
      <c r="E11" s="214"/>
      <c r="F11" s="214"/>
      <c r="G11" s="214"/>
    </row>
    <row r="12" spans="2:7">
      <c r="B12" s="105" t="s">
        <v>18</v>
      </c>
      <c r="D12" s="203">
        <v>126.72</v>
      </c>
      <c r="E12" s="203">
        <v>30.34</v>
      </c>
      <c r="F12" s="203">
        <v>41.62</v>
      </c>
      <c r="G12" s="203">
        <v>101.71</v>
      </c>
    </row>
    <row r="13" spans="2:7">
      <c r="B13" s="105" t="s">
        <v>19</v>
      </c>
      <c r="D13" s="94">
        <f>WACC!F33</f>
        <v>172961</v>
      </c>
      <c r="E13" s="94">
        <f>WACC!F34</f>
        <v>41290</v>
      </c>
      <c r="F13" s="94">
        <f>WACC!F35</f>
        <v>81537</v>
      </c>
      <c r="G13" s="94">
        <f>WACC!F36</f>
        <v>45076</v>
      </c>
    </row>
    <row r="14" spans="2:7">
      <c r="B14" s="105" t="s">
        <v>20</v>
      </c>
      <c r="D14" s="90">
        <f>10602+42612</f>
        <v>53214</v>
      </c>
      <c r="E14" s="90">
        <f>8394+21586</f>
        <v>29980</v>
      </c>
      <c r="F14" s="90">
        <v>0</v>
      </c>
      <c r="G14" s="90">
        <f>1663+10526</f>
        <v>12189</v>
      </c>
    </row>
    <row r="15" spans="2:7">
      <c r="B15" s="105" t="s">
        <v>21</v>
      </c>
      <c r="D15" s="90">
        <v>0</v>
      </c>
      <c r="E15" s="90">
        <v>4500</v>
      </c>
      <c r="F15" s="90">
        <v>0</v>
      </c>
      <c r="G15" s="90">
        <v>0</v>
      </c>
    </row>
    <row r="16" spans="2:7">
      <c r="B16" s="105" t="s">
        <v>22</v>
      </c>
      <c r="D16" s="90">
        <v>172</v>
      </c>
      <c r="E16" s="90">
        <v>4196</v>
      </c>
      <c r="F16" s="90">
        <v>0</v>
      </c>
      <c r="G16" s="90">
        <v>487</v>
      </c>
    </row>
    <row r="17" spans="2:7">
      <c r="B17" s="105" t="s">
        <v>23</v>
      </c>
      <c r="D17" s="90">
        <f>-(10251+465)</f>
        <v>-10716</v>
      </c>
      <c r="E17" s="90">
        <v>-1517</v>
      </c>
      <c r="F17" s="90">
        <f>-(2192.4+1226.8)</f>
        <v>-3419.2</v>
      </c>
      <c r="G17" s="90">
        <f>-(1753+241)</f>
        <v>-1994</v>
      </c>
    </row>
    <row r="18" spans="2:7" ht="13">
      <c r="B18" s="204" t="s">
        <v>24</v>
      </c>
      <c r="C18" s="215"/>
      <c r="D18" s="205">
        <f>D13+D9*SUM(D14:D17)</f>
        <v>215631</v>
      </c>
      <c r="E18" s="205">
        <f>E13+E9*SUM(E14:E17)</f>
        <v>78449</v>
      </c>
      <c r="F18" s="205">
        <f>F13+F9*SUM(F14:F17)</f>
        <v>78117.8</v>
      </c>
      <c r="G18" s="205">
        <f>G13+G9*SUM(G14:G17)</f>
        <v>57205.411</v>
      </c>
    </row>
    <row r="20" spans="2:7" ht="13">
      <c r="B20" s="198" t="s">
        <v>25</v>
      </c>
      <c r="C20" s="214"/>
      <c r="D20" s="214"/>
      <c r="E20" s="214"/>
      <c r="F20" s="214"/>
      <c r="G20" s="214"/>
    </row>
    <row r="21" spans="2:7">
      <c r="B21" s="105" t="s">
        <v>26</v>
      </c>
      <c r="D21" s="90">
        <v>14912</v>
      </c>
      <c r="E21" s="90">
        <v>4156</v>
      </c>
      <c r="F21" s="90">
        <v>2582.6</v>
      </c>
      <c r="G21" s="90">
        <v>2808</v>
      </c>
    </row>
    <row r="22" spans="2:7">
      <c r="B22" s="105" t="s">
        <v>27</v>
      </c>
      <c r="D22" s="90">
        <v>7117</v>
      </c>
      <c r="E22" s="90">
        <v>2316</v>
      </c>
      <c r="F22" s="90">
        <v>1481.6</v>
      </c>
      <c r="G22" s="90">
        <v>1481</v>
      </c>
    </row>
    <row r="23" spans="2:7">
      <c r="B23" s="105" t="s">
        <v>28</v>
      </c>
      <c r="D23" s="90">
        <v>6700</v>
      </c>
      <c r="E23" s="90">
        <v>1875</v>
      </c>
      <c r="F23" s="90">
        <v>1251.3</v>
      </c>
      <c r="G23" s="90">
        <v>1390</v>
      </c>
    </row>
    <row r="24" spans="2:7" ht="13">
      <c r="B24" s="204" t="s">
        <v>29</v>
      </c>
      <c r="C24" s="215"/>
      <c r="D24" s="205">
        <f>D21+D22-D23</f>
        <v>15329</v>
      </c>
      <c r="E24" s="205">
        <f>E21+E22-E23</f>
        <v>4597</v>
      </c>
      <c r="F24" s="205">
        <f>F21+F22-F23</f>
        <v>2812.8999999999996</v>
      </c>
      <c r="G24" s="205">
        <f>G21+G22-G23</f>
        <v>2899</v>
      </c>
    </row>
    <row r="25" spans="2:7">
      <c r="B25" s="105" t="s">
        <v>30</v>
      </c>
      <c r="D25" s="90">
        <v>3451</v>
      </c>
      <c r="E25" s="90">
        <f>455+160</f>
        <v>615</v>
      </c>
      <c r="F25" s="90">
        <v>114.4</v>
      </c>
      <c r="G25" s="90">
        <v>923</v>
      </c>
    </row>
    <row r="26" spans="2:7">
      <c r="B26" s="105" t="s">
        <v>31</v>
      </c>
      <c r="D26" s="90">
        <v>1639</v>
      </c>
      <c r="E26" s="90">
        <f>322+82</f>
        <v>404</v>
      </c>
      <c r="F26" s="90">
        <v>58.2</v>
      </c>
      <c r="G26" s="90">
        <v>439</v>
      </c>
    </row>
    <row r="27" spans="2:7">
      <c r="B27" s="105" t="s">
        <v>32</v>
      </c>
      <c r="D27" s="90">
        <v>1491</v>
      </c>
      <c r="E27" s="90">
        <f>217+63</f>
        <v>280</v>
      </c>
      <c r="F27" s="90">
        <v>52.4</v>
      </c>
      <c r="G27" s="90">
        <v>469</v>
      </c>
    </row>
    <row r="28" spans="2:7" ht="13">
      <c r="B28" s="204" t="s">
        <v>33</v>
      </c>
      <c r="C28" s="215"/>
      <c r="D28" s="205">
        <f>D25+D26-D27</f>
        <v>3599</v>
      </c>
      <c r="E28" s="205">
        <f>E25+E26-E27</f>
        <v>739</v>
      </c>
      <c r="F28" s="205">
        <f>F25+F26-F27</f>
        <v>120.20000000000002</v>
      </c>
      <c r="G28" s="205">
        <f>G25+G26-G27</f>
        <v>893</v>
      </c>
    </row>
    <row r="29" spans="2:7">
      <c r="B29" s="105" t="s">
        <v>34</v>
      </c>
      <c r="D29" s="90">
        <v>0</v>
      </c>
      <c r="E29" s="206">
        <f>E32-(E24+E28)</f>
        <v>1275</v>
      </c>
      <c r="F29" s="90">
        <v>0</v>
      </c>
      <c r="G29" s="90">
        <v>0</v>
      </c>
    </row>
    <row r="30" spans="2:7" ht="13">
      <c r="B30" s="204" t="s">
        <v>35</v>
      </c>
      <c r="C30" s="215"/>
      <c r="D30" s="205">
        <f>D24+D28+D29</f>
        <v>18928</v>
      </c>
      <c r="E30" s="205">
        <f>E24+E28+E29</f>
        <v>6611</v>
      </c>
      <c r="F30" s="205">
        <f>F24+F28+F29</f>
        <v>2933.0999999999995</v>
      </c>
      <c r="G30" s="205">
        <f>G24+G28+G29</f>
        <v>3792</v>
      </c>
    </row>
    <row r="31" spans="2:7" ht="13">
      <c r="B31" s="106" t="s">
        <v>36</v>
      </c>
      <c r="D31" s="207">
        <f>D30*D9</f>
        <v>18928</v>
      </c>
      <c r="E31" s="207">
        <f>E30*E9</f>
        <v>6611</v>
      </c>
      <c r="F31" s="207">
        <f>F30*F9</f>
        <v>2933.0999999999995</v>
      </c>
      <c r="G31" s="207">
        <f>G30*G9</f>
        <v>4305.8159999999998</v>
      </c>
    </row>
    <row r="32" spans="2:7">
      <c r="B32" s="105" t="s">
        <v>37</v>
      </c>
      <c r="D32" s="86"/>
      <c r="E32" s="90">
        <v>6611</v>
      </c>
      <c r="F32" s="86"/>
      <c r="G32" s="86"/>
    </row>
    <row r="34" spans="2:13" ht="13">
      <c r="B34" s="198" t="s">
        <v>38</v>
      </c>
      <c r="C34" s="214"/>
      <c r="D34" s="214"/>
      <c r="E34" s="214"/>
      <c r="F34" s="214"/>
      <c r="G34" s="214"/>
    </row>
    <row r="35" spans="2:13">
      <c r="B35" s="105" t="s">
        <v>39</v>
      </c>
      <c r="D35" s="208">
        <v>8.39</v>
      </c>
      <c r="E35" s="208">
        <v>2.2999999999999998</v>
      </c>
      <c r="F35" s="208">
        <v>1.1499999999999999</v>
      </c>
      <c r="G35" s="208">
        <v>4.49</v>
      </c>
    </row>
    <row r="36" spans="2:13">
      <c r="B36" s="105" t="s">
        <v>40</v>
      </c>
      <c r="D36" s="208">
        <v>8.69</v>
      </c>
      <c r="E36" s="208">
        <v>2.52</v>
      </c>
      <c r="F36" s="208">
        <v>1.31</v>
      </c>
      <c r="G36" s="208">
        <v>4.8899999999999997</v>
      </c>
    </row>
    <row r="37" spans="2:13">
      <c r="B37" s="105" t="s">
        <v>41</v>
      </c>
      <c r="D37" s="209">
        <f>DCF!$I$57</f>
        <v>0.25205479452054796</v>
      </c>
      <c r="E37" s="209">
        <f>DCF!$I$57</f>
        <v>0.25205479452054796</v>
      </c>
      <c r="F37" s="209">
        <f>DCF!$I$57</f>
        <v>0.25205479452054796</v>
      </c>
      <c r="G37" s="209">
        <f>DCF!$I$57</f>
        <v>0.25205479452054796</v>
      </c>
    </row>
    <row r="38" spans="2:13" ht="13">
      <c r="B38" s="204" t="s">
        <v>42</v>
      </c>
      <c r="C38" s="215"/>
      <c r="D38" s="210">
        <f>(D35*D37+D36*(1-D37))*D9</f>
        <v>8.6143835616438338</v>
      </c>
      <c r="E38" s="210">
        <f>(E35*E37+E36*(1-E37))*E9</f>
        <v>2.4645479452054793</v>
      </c>
      <c r="F38" s="210">
        <f>(F35*F37+F36*(1-F37))*F9</f>
        <v>1.2696712328767124</v>
      </c>
      <c r="G38" s="210">
        <f>(G35*G37+G36*(1-G37))*G9</f>
        <v>5.4381117123287659</v>
      </c>
    </row>
    <row r="40" spans="2:13" ht="13">
      <c r="B40" s="198" t="s">
        <v>43</v>
      </c>
      <c r="C40" s="214"/>
      <c r="D40" s="214"/>
      <c r="E40" s="214"/>
      <c r="F40" s="214"/>
      <c r="G40" s="214"/>
      <c r="H40" s="214"/>
      <c r="I40" s="199" t="s">
        <v>44</v>
      </c>
      <c r="J40" s="199" t="s">
        <v>45</v>
      </c>
      <c r="K40" s="199" t="s">
        <v>46</v>
      </c>
      <c r="L40" s="199" t="s">
        <v>47</v>
      </c>
      <c r="M40" s="199" t="s">
        <v>48</v>
      </c>
    </row>
    <row r="41" spans="2:13" ht="13">
      <c r="B41" s="106" t="s">
        <v>49</v>
      </c>
      <c r="D41" s="211">
        <f>D18/D31</f>
        <v>11.39217032967033</v>
      </c>
      <c r="E41" s="211">
        <f>E18/E31</f>
        <v>11.866434729995461</v>
      </c>
      <c r="F41" s="211">
        <f>F18/F31</f>
        <v>26.633186730762681</v>
      </c>
      <c r="G41" s="211">
        <f>G18/G31</f>
        <v>13.285614387609689</v>
      </c>
      <c r="I41" s="212">
        <f>MAX(D41:G41)</f>
        <v>26.633186730762681</v>
      </c>
      <c r="J41" s="212">
        <f>_xlfn.QUARTILE.INC(D41:G41,3)</f>
        <v>16.622507473397938</v>
      </c>
      <c r="K41" s="211">
        <f>MEDIAN(D41:G41)</f>
        <v>12.576024558802576</v>
      </c>
      <c r="L41" s="212">
        <f>_xlfn.QUARTILE.INC(D41:G41,1)</f>
        <v>11.747868629914178</v>
      </c>
      <c r="M41" s="212">
        <f>MIN(D41:G41)</f>
        <v>11.39217032967033</v>
      </c>
    </row>
    <row r="42" spans="2:13" ht="13">
      <c r="B42" s="106" t="s">
        <v>50</v>
      </c>
      <c r="D42" s="211">
        <f>D12/D38</f>
        <v>14.710280671066235</v>
      </c>
      <c r="E42" s="211">
        <f>E12/E38</f>
        <v>12.310574058428566</v>
      </c>
      <c r="F42" s="211">
        <f>F12/F38</f>
        <v>32.780139395377937</v>
      </c>
      <c r="G42" s="211">
        <f>G12/G38</f>
        <v>18.703183270290829</v>
      </c>
      <c r="I42" s="212">
        <f>MAX(D42:G42)</f>
        <v>32.780139395377937</v>
      </c>
      <c r="J42" s="212">
        <f>_xlfn.QUARTILE.INC(D42:G42,3)</f>
        <v>22.222422301562606</v>
      </c>
      <c r="K42" s="211">
        <f>MEDIAN(D42:G42)</f>
        <v>16.706731970678533</v>
      </c>
      <c r="L42" s="212">
        <f>_xlfn.QUARTILE.INC(D42:G42,1)</f>
        <v>14.110354017906818</v>
      </c>
      <c r="M42" s="212">
        <f>MIN(D42:G42)</f>
        <v>12.310574058428566</v>
      </c>
    </row>
    <row r="44" spans="2:13" ht="13">
      <c r="B44" s="106"/>
    </row>
    <row r="45" spans="2:13" ht="13">
      <c r="B45" s="106" t="s">
        <v>488</v>
      </c>
    </row>
    <row r="46" spans="2:13" ht="13">
      <c r="B46" s="106" t="s">
        <v>460</v>
      </c>
    </row>
    <row r="47" spans="2:13">
      <c r="B47" s="105" t="s">
        <v>470</v>
      </c>
      <c r="D47" s="77">
        <f>DCF!H20</f>
        <v>15023</v>
      </c>
    </row>
    <row r="48" spans="2:13">
      <c r="B48" s="105" t="s">
        <v>468</v>
      </c>
      <c r="C48" s="3" t="s">
        <v>465</v>
      </c>
      <c r="D48" s="216">
        <f>9031+44</f>
        <v>9075</v>
      </c>
    </row>
    <row r="49" spans="2:4">
      <c r="B49" s="105" t="s">
        <v>469</v>
      </c>
      <c r="C49" s="3" t="s">
        <v>465</v>
      </c>
      <c r="D49" s="216">
        <f>7939+144</f>
        <v>8083</v>
      </c>
    </row>
    <row r="50" spans="2:4" ht="13">
      <c r="B50" s="217" t="s">
        <v>461</v>
      </c>
      <c r="C50" s="215"/>
      <c r="D50" s="218">
        <f>D47+D48-D49</f>
        <v>16015</v>
      </c>
    </row>
    <row r="51" spans="2:4">
      <c r="B51" s="105" t="s">
        <v>462</v>
      </c>
      <c r="D51" s="77">
        <f>DCF!H23</f>
        <v>1050</v>
      </c>
    </row>
    <row r="52" spans="2:4">
      <c r="B52" s="105" t="s">
        <v>466</v>
      </c>
      <c r="C52" s="3" t="s">
        <v>465</v>
      </c>
      <c r="D52" s="216">
        <f>530</f>
        <v>530</v>
      </c>
    </row>
    <row r="53" spans="2:4">
      <c r="B53" s="3" t="s">
        <v>467</v>
      </c>
      <c r="C53" s="3" t="s">
        <v>465</v>
      </c>
      <c r="D53" s="216">
        <v>546</v>
      </c>
    </row>
    <row r="54" spans="2:4" ht="13">
      <c r="B54" s="217" t="s">
        <v>33</v>
      </c>
      <c r="C54" s="215"/>
      <c r="D54" s="218">
        <f>D51+D52-D53</f>
        <v>1034</v>
      </c>
    </row>
    <row r="55" spans="2:4">
      <c r="B55" s="3" t="s">
        <v>463</v>
      </c>
      <c r="D55" s="213">
        <f>D50+D54</f>
        <v>17049</v>
      </c>
    </row>
    <row r="56" spans="2:4">
      <c r="B56" s="3" t="s">
        <v>471</v>
      </c>
      <c r="D56" s="77">
        <f>-(CCBA!D22+CCBA!D23)</f>
        <v>-452.75915202129124</v>
      </c>
    </row>
    <row r="57" spans="2:4" ht="13">
      <c r="B57" s="217" t="s">
        <v>464</v>
      </c>
      <c r="C57" s="215"/>
      <c r="D57" s="218">
        <f>D55+D56</f>
        <v>16596.240847978708</v>
      </c>
    </row>
    <row r="59" spans="2:4" ht="13">
      <c r="B59" s="5" t="s">
        <v>472</v>
      </c>
    </row>
    <row r="60" spans="2:4">
      <c r="B60" s="3" t="s">
        <v>473</v>
      </c>
      <c r="D60" s="220">
        <v>3.3</v>
      </c>
    </row>
    <row r="61" spans="2:4">
      <c r="B61" s="3" t="s">
        <v>489</v>
      </c>
      <c r="D61" s="220">
        <v>3.52</v>
      </c>
    </row>
    <row r="62" spans="2:4">
      <c r="B62" s="3" t="s">
        <v>474</v>
      </c>
      <c r="D62" s="209">
        <f>DCF!I57</f>
        <v>0.25205479452054796</v>
      </c>
    </row>
    <row r="63" spans="2:4" ht="13">
      <c r="B63" s="217" t="s">
        <v>475</v>
      </c>
      <c r="C63" s="217"/>
      <c r="D63" s="219">
        <f>D60*D62+D61*(1-D62)</f>
        <v>3.4645479452054793</v>
      </c>
    </row>
    <row r="65" spans="2:6" ht="13">
      <c r="B65" s="221" t="s">
        <v>476</v>
      </c>
      <c r="C65" s="214"/>
      <c r="D65" s="222" t="s">
        <v>47</v>
      </c>
      <c r="E65" s="222" t="s">
        <v>46</v>
      </c>
      <c r="F65" s="222" t="s">
        <v>45</v>
      </c>
    </row>
    <row r="66" spans="2:6" ht="13">
      <c r="B66" s="4" t="s">
        <v>477</v>
      </c>
    </row>
    <row r="67" spans="2:6">
      <c r="B67" s="3" t="s">
        <v>478</v>
      </c>
      <c r="D67" s="223">
        <f>L41</f>
        <v>11.747868629914178</v>
      </c>
      <c r="E67" s="223">
        <f>K41</f>
        <v>12.576024558802576</v>
      </c>
      <c r="F67" s="223">
        <f>J41</f>
        <v>16.622507473397938</v>
      </c>
    </row>
    <row r="68" spans="2:6">
      <c r="B68" s="3" t="s">
        <v>479</v>
      </c>
      <c r="D68" s="213">
        <f>D67*$D$57</f>
        <v>194970.45723246934</v>
      </c>
      <c r="E68" s="213">
        <f>E67*$D$57</f>
        <v>208714.73248798272</v>
      </c>
      <c r="F68" s="213">
        <f>F67*$D$57</f>
        <v>275871.13752583822</v>
      </c>
    </row>
    <row r="69" spans="2:6">
      <c r="B69" s="3" t="s">
        <v>480</v>
      </c>
      <c r="D69" s="213">
        <f>SUM(DCF!$D$74:$D$80)</f>
        <v>18905.290800000002</v>
      </c>
      <c r="E69" s="213">
        <f>SUM(DCF!$D$74:$D$80)</f>
        <v>18905.290800000002</v>
      </c>
      <c r="F69" s="213">
        <f>SUM(DCF!$D$74:$D$80)</f>
        <v>18905.290800000002</v>
      </c>
    </row>
    <row r="70" spans="2:6">
      <c r="B70" s="3" t="s">
        <v>481</v>
      </c>
      <c r="D70" s="213">
        <f>D68+D69</f>
        <v>213875.74803246936</v>
      </c>
      <c r="E70" s="213">
        <f>E68+E69</f>
        <v>227620.02328798274</v>
      </c>
      <c r="F70" s="213">
        <f>F68+F69</f>
        <v>294776.42832583823</v>
      </c>
    </row>
    <row r="71" spans="2:6" ht="13">
      <c r="B71" s="5" t="s">
        <v>446</v>
      </c>
      <c r="C71" s="5"/>
      <c r="D71" s="224">
        <f>D70/DCF!$D$82</f>
        <v>49.588626949332102</v>
      </c>
      <c r="E71" s="224">
        <f>E70/DCF!$D$82</f>
        <v>52.775335795961681</v>
      </c>
      <c r="F71" s="224">
        <f>F70/DCF!$D$82</f>
        <v>68.346030216980807</v>
      </c>
    </row>
    <row r="72" spans="2:6" ht="13">
      <c r="B72" s="4" t="s">
        <v>50</v>
      </c>
    </row>
    <row r="73" spans="2:6">
      <c r="B73" s="3" t="s">
        <v>478</v>
      </c>
      <c r="D73" s="223">
        <f>L42</f>
        <v>14.110354017906818</v>
      </c>
      <c r="E73" s="223">
        <f>K42</f>
        <v>16.706731970678533</v>
      </c>
      <c r="F73" s="223">
        <f>J42</f>
        <v>22.222422301562606</v>
      </c>
    </row>
    <row r="74" spans="2:6" ht="13">
      <c r="B74" s="3" t="s">
        <v>446</v>
      </c>
      <c r="D74" s="224">
        <f>D73*$D$63</f>
        <v>48.885998018860946</v>
      </c>
      <c r="E74" s="224">
        <f>E73*$D$63</f>
        <v>57.881273920112996</v>
      </c>
      <c r="F74" s="224">
        <f>F73*$D$63</f>
        <v>76.990647522367141</v>
      </c>
    </row>
    <row r="76" spans="2:6" ht="13">
      <c r="B76" s="221" t="s">
        <v>482</v>
      </c>
      <c r="C76" s="214"/>
      <c r="D76" s="225" t="s">
        <v>485</v>
      </c>
      <c r="E76" s="225" t="s">
        <v>486</v>
      </c>
    </row>
    <row r="77" spans="2:6">
      <c r="B77" s="3" t="s">
        <v>477</v>
      </c>
      <c r="D77" s="137">
        <v>13</v>
      </c>
      <c r="E77" s="137">
        <v>17</v>
      </c>
    </row>
    <row r="78" spans="2:6" ht="13">
      <c r="B78" s="5" t="s">
        <v>446</v>
      </c>
      <c r="C78" s="5"/>
      <c r="D78" s="224">
        <f>(D77*$D$57+SUM(DCF!$D$74:$D$80))/DCF!$D$82</f>
        <v>54.406775289525434</v>
      </c>
      <c r="E78" s="224">
        <f>(E77*$D$57+SUM(DCF!$D$74:$D$80))/DCF!$D$82</f>
        <v>69.798605429083707</v>
      </c>
    </row>
    <row r="79" spans="2:6">
      <c r="B79" s="3" t="s">
        <v>50</v>
      </c>
      <c r="D79" s="137">
        <v>18</v>
      </c>
      <c r="E79" s="137">
        <v>23</v>
      </c>
    </row>
    <row r="80" spans="2:6" ht="13">
      <c r="B80" s="5" t="s">
        <v>446</v>
      </c>
      <c r="C80" s="5"/>
      <c r="D80" s="224">
        <f>D79*$D$63</f>
        <v>62.361863013698624</v>
      </c>
      <c r="E80" s="224">
        <f>E79*$D$63</f>
        <v>79.684602739726017</v>
      </c>
    </row>
    <row r="81" spans="2:5" ht="16">
      <c r="B81" s="3" t="s">
        <v>483</v>
      </c>
      <c r="D81" s="223">
        <f>(DCF!D84*DCF!D82-SUM(DCF!D74:D80))/D57</f>
        <v>21.231178338973937</v>
      </c>
      <c r="E81"/>
    </row>
    <row r="82" spans="2:5" ht="16">
      <c r="B82" s="3" t="s">
        <v>484</v>
      </c>
      <c r="D82" s="223">
        <f>DCF!D84/D63</f>
        <v>24.845954324033656</v>
      </c>
      <c r="E82"/>
    </row>
    <row r="95" spans="2:5" ht="13">
      <c r="B95" s="106" t="s">
        <v>51</v>
      </c>
    </row>
    <row r="96" spans="2:5">
      <c r="B96" s="105" t="s">
        <v>52</v>
      </c>
    </row>
    <row r="97" spans="2:2">
      <c r="B97" s="105" t="s">
        <v>53</v>
      </c>
    </row>
    <row r="98" spans="2:2">
      <c r="B98" s="105" t="s">
        <v>54</v>
      </c>
    </row>
    <row r="99" spans="2:2">
      <c r="B99" s="105" t="s">
        <v>55</v>
      </c>
    </row>
    <row r="100" spans="2:2">
      <c r="B100" s="105" t="s">
        <v>56</v>
      </c>
    </row>
    <row r="101" spans="2:2">
      <c r="B101" s="105" t="s">
        <v>57</v>
      </c>
    </row>
    <row r="102" spans="2:2">
      <c r="B102" s="3" t="s">
        <v>487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1521-8403-403D-A411-FEE53766F212}">
  <dimension ref="B1:I50"/>
  <sheetViews>
    <sheetView showGridLines="0" tabSelected="1" zoomScale="80" zoomScaleNormal="80" workbookViewId="0">
      <selection activeCell="E50" sqref="E50"/>
    </sheetView>
  </sheetViews>
  <sheetFormatPr defaultRowHeight="16"/>
  <cols>
    <col min="1" max="1" width="2.58203125" customWidth="1"/>
    <col min="2" max="6" width="30.58203125" customWidth="1"/>
  </cols>
  <sheetData>
    <row r="1" spans="2:9">
      <c r="B1" t="s">
        <v>0</v>
      </c>
    </row>
    <row r="2" spans="2:9">
      <c r="B2" t="s">
        <v>490</v>
      </c>
    </row>
    <row r="3" spans="2:9">
      <c r="B3" s="226" t="s">
        <v>491</v>
      </c>
    </row>
    <row r="5" spans="2:9">
      <c r="B5" s="227" t="s">
        <v>492</v>
      </c>
      <c r="C5" s="232" t="s">
        <v>493</v>
      </c>
      <c r="D5" s="232" t="s">
        <v>485</v>
      </c>
      <c r="E5" s="232" t="s">
        <v>486</v>
      </c>
      <c r="F5" s="232" t="s">
        <v>494</v>
      </c>
      <c r="H5" s="236" t="s">
        <v>506</v>
      </c>
      <c r="I5" s="236" t="s">
        <v>505</v>
      </c>
    </row>
    <row r="6" spans="2:9">
      <c r="B6" t="s">
        <v>495</v>
      </c>
      <c r="C6" t="s">
        <v>500</v>
      </c>
      <c r="D6" s="233">
        <f>65.84</f>
        <v>65.84</v>
      </c>
      <c r="E6" s="233">
        <v>92.49</v>
      </c>
      <c r="F6" s="235">
        <f>E6-D6</f>
        <v>26.649999999999991</v>
      </c>
      <c r="H6" s="237">
        <f>$D$13</f>
        <v>86.08</v>
      </c>
      <c r="I6" s="238">
        <v>0</v>
      </c>
    </row>
    <row r="7" spans="2:9">
      <c r="B7" t="s">
        <v>496</v>
      </c>
      <c r="C7" t="s">
        <v>501</v>
      </c>
      <c r="D7" s="233">
        <v>75</v>
      </c>
      <c r="E7" s="233">
        <v>104</v>
      </c>
      <c r="F7" s="235">
        <f t="shared" ref="F7:F11" si="0">E7-D7</f>
        <v>29</v>
      </c>
      <c r="H7" s="237">
        <f>$D$13</f>
        <v>86.08</v>
      </c>
      <c r="I7" s="238">
        <v>1</v>
      </c>
    </row>
    <row r="8" spans="2:9">
      <c r="B8" t="s">
        <v>497</v>
      </c>
      <c r="C8" t="str">
        <f>TEXT(Comp!D77,"0.0x")&amp;" - "&amp;TEXT(Comp!E77,"0.0x")</f>
        <v>13.0x - 17.0x</v>
      </c>
      <c r="D8" s="234">
        <f>Comp!D78</f>
        <v>54.406775289525434</v>
      </c>
      <c r="E8" s="234">
        <f>Comp!E78</f>
        <v>69.798605429083707</v>
      </c>
      <c r="F8" s="235">
        <f t="shared" si="0"/>
        <v>15.391830139558273</v>
      </c>
    </row>
    <row r="9" spans="2:9">
      <c r="B9" t="s">
        <v>498</v>
      </c>
      <c r="C9" t="str">
        <f>TEXT(Comp!D79,"0.0x")&amp;" - "&amp;TEXT(Comp!E79,"0.0x")</f>
        <v>18.0x - 23.0x</v>
      </c>
      <c r="D9" s="234">
        <f>Comp!D80</f>
        <v>62.361863013698624</v>
      </c>
      <c r="E9" s="234">
        <f>Comp!E80</f>
        <v>79.684602739726017</v>
      </c>
      <c r="F9" s="235">
        <f t="shared" si="0"/>
        <v>17.322739726027393</v>
      </c>
    </row>
    <row r="10" spans="2:9">
      <c r="B10" t="s">
        <v>499</v>
      </c>
      <c r="C10" t="s">
        <v>502</v>
      </c>
      <c r="D10" s="234">
        <f>MIN(DCF!F104:H106)</f>
        <v>58.602279124705731</v>
      </c>
      <c r="E10" s="234">
        <f>MAX(DCF!F104:H106)</f>
        <v>85.691946136648966</v>
      </c>
      <c r="F10" s="235">
        <f t="shared" si="0"/>
        <v>27.089667011943234</v>
      </c>
    </row>
    <row r="11" spans="2:9">
      <c r="B11" t="s">
        <v>504</v>
      </c>
      <c r="C11" t="s">
        <v>503</v>
      </c>
      <c r="D11" s="234">
        <f>MIN(DCF!F115:H117)</f>
        <v>69.626052036871911</v>
      </c>
      <c r="E11" s="234">
        <f>MAX(DCF!F115:H117)</f>
        <v>78.70058556937957</v>
      </c>
      <c r="F11" s="235">
        <f t="shared" si="0"/>
        <v>9.0745335325076582</v>
      </c>
    </row>
    <row r="13" spans="2:9">
      <c r="B13" t="s">
        <v>447</v>
      </c>
      <c r="D13" s="234">
        <f>DCF!D84</f>
        <v>86.08</v>
      </c>
    </row>
    <row r="47" spans="2:2">
      <c r="B47" t="s">
        <v>507</v>
      </c>
    </row>
    <row r="48" spans="2:2">
      <c r="B48" t="s">
        <v>508</v>
      </c>
    </row>
    <row r="49" spans="2:2">
      <c r="B49" t="s">
        <v>509</v>
      </c>
    </row>
    <row r="50" spans="2:2">
      <c r="B50" t="s">
        <v>510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</vt:lpstr>
      <vt:lpstr>IS</vt:lpstr>
      <vt:lpstr>CF</vt:lpstr>
      <vt:lpstr>BS</vt:lpstr>
      <vt:lpstr>NWC</vt:lpstr>
      <vt:lpstr>Adj</vt:lpstr>
      <vt:lpstr>WACC</vt:lpstr>
      <vt:lpstr>CCBA</vt:lpstr>
      <vt:lpstr>EMI</vt:lpstr>
      <vt:lpstr>DCF</vt:lpstr>
      <vt:lpstr>Comp</vt:lpstr>
      <vt:lpstr>Football 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ab2355</dc:creator>
  <cp:lastModifiedBy>ab2355</cp:lastModifiedBy>
  <dcterms:created xsi:type="dcterms:W3CDTF">2026-10-01T03:51:13Z</dcterms:created>
  <dcterms:modified xsi:type="dcterms:W3CDTF">2026-10-11T05:29:16Z</dcterms:modified>
</cp:coreProperties>
</file>